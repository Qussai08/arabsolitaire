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okups" sheetId="1" r:id="rId1"/>
    <sheet name="Assumptions" sheetId="2" r:id="rId2"/>
    <sheet name="Task Estimates" sheetId="3" r:id="rId3"/>
    <sheet name="Epic Estimates" sheetId="4" r:id="rId4"/>
    <sheet name="Delivery Scenarios" sheetId="5" r:id="rId5"/>
    <sheet name="Delivery Roadmap" sheetId="6" r:id="rId6"/>
    <sheet name="Role &amp; Cost Plan" sheetId="7" r:id="rId7"/>
    <sheet name="Dependencies" sheetId="8" r:id="rId8"/>
    <sheet name="Risk Register" sheetId="9" r:id="rId9"/>
    <sheet name="Decision Register" sheetId="10" r:id="rId10"/>
    <sheet name="Executive Summary" sheetId="11" r:id="rId11"/>
    <sheet name="Decision Align v1.1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200" formatCode="0%"/>
    <numFmt numFmtId="201" formatCode="#,##0.00"/>
    <numFmt numFmtId="202" formatCode="0.00"/>
    <numFmt numFmtId="203" formatCode="0.0%"/>
    <numFmt numFmtId="204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Scenario</v>
      </c>
      <c r="B1" t="str">
        <v>Status</v>
      </c>
      <c r="C1" t="str">
        <v>Phase</v>
      </c>
      <c r="D1" t="str">
        <v>Decision Status</v>
      </c>
      <c r="E1" t="str">
        <v>Risk Rating</v>
      </c>
      <c r="F1" t="str">
        <v>Currency</v>
      </c>
    </row>
    <row r="2">
      <c r="A2" t="str">
        <v>Solo / AI-Assisted</v>
      </c>
      <c r="B2" t="str">
        <v>Not Started</v>
      </c>
      <c r="C2" t="str">
        <v>MVP-P0</v>
      </c>
      <c r="D2" t="str">
        <v>CONFIRMED</v>
      </c>
      <c r="E2" t="str">
        <v>Critical</v>
      </c>
      <c r="F2" t="str">
        <v>EGP</v>
      </c>
    </row>
    <row r="3">
      <c r="A3" t="str">
        <v>Lean Team</v>
      </c>
      <c r="B3" t="str">
        <v>In Progress</v>
      </c>
      <c r="C3" t="str">
        <v>MVP-P1</v>
      </c>
      <c r="D3" t="str">
        <v>PROPOSED</v>
      </c>
      <c r="E3" t="str">
        <v>High</v>
      </c>
      <c r="F3" t="str">
        <v>USD</v>
      </c>
    </row>
    <row r="4">
      <c r="A4" t="str">
        <v>Recommended Team</v>
      </c>
      <c r="B4" t="str">
        <v>Blocked</v>
      </c>
      <c r="D4" t="str">
        <v>TBD</v>
      </c>
      <c r="E4" t="str">
        <v>Medium</v>
      </c>
      <c r="F4" t="str">
        <v>AED</v>
      </c>
    </row>
    <row r="5">
      <c r="B5" t="str">
        <v>Ready for QA</v>
      </c>
      <c r="D5" t="str">
        <v>REQUIRED</v>
      </c>
      <c r="E5" t="str">
        <v>Low</v>
      </c>
    </row>
    <row r="6">
      <c r="B6" t="str">
        <v>Done</v>
      </c>
    </row>
    <row r="7">
      <c r="B7" t="str">
        <v>Deferred</v>
      </c>
    </row>
  </sheetData>
  <pageMargins left="0.7" right="0.7" top="0.75" bottom="0.75" header="0.3" footer="0.3"/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Estimation &amp; Delivery Assumptions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Yellow cells editable. Decision Align v1.1: Firebase-first; Daily is P0. Project start date / rates / calendar remain TBD.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Input</v>
      </c>
      <c r="B3" t="str">
        <v>Value</v>
      </c>
      <c r="C3" t="str">
        <v>Unit</v>
      </c>
      <c r="D3" t="str">
        <v>Decision State</v>
      </c>
      <c r="E3" t="str">
        <v/>
      </c>
      <c r="F3" t="str">
        <v>Scenario</v>
      </c>
      <c r="G3" t="str">
        <v>FTE</v>
      </c>
      <c r="H3" t="str">
        <v>Nominal h/week</v>
      </c>
      <c r="I3" t="str">
        <v>Productive Factor</v>
      </c>
      <c r="J3" t="str">
        <v>Effective h/week</v>
      </c>
      <c r="K3" t="str">
        <v>Status</v>
      </c>
    </row>
    <row r="4">
      <c r="A4" t="str">
        <v>Hours per Story Point</v>
      </c>
      <c r="B4">
        <v>6</v>
      </c>
      <c r="C4" t="str">
        <v>hours/SP</v>
      </c>
      <c r="D4" t="str">
        <v>PROPOSED</v>
      </c>
      <c r="E4" t="str">
        <v/>
      </c>
      <c r="F4" t="str">
        <v>Solo / AI-Assisted</v>
      </c>
      <c r="G4">
        <v>1</v>
      </c>
      <c r="H4">
        <v>40</v>
      </c>
      <c r="I4">
        <v>0.75</v>
      </c>
      <c r="J4">
        <v>30</v>
      </c>
      <c r="K4" t="str">
        <v>PROPOSED</v>
      </c>
    </row>
    <row r="5">
      <c r="A5" t="str">
        <v>Contingency</v>
      </c>
      <c r="B5">
        <v>0.15</v>
      </c>
      <c r="C5" t="str">
        <v>%</v>
      </c>
      <c r="D5" t="str">
        <v>PROPOSED</v>
      </c>
      <c r="E5" t="str">
        <v/>
      </c>
      <c r="F5" t="str">
        <v>Lean Team</v>
      </c>
      <c r="G5">
        <v>3</v>
      </c>
      <c r="H5">
        <v>40</v>
      </c>
      <c r="I5">
        <v>0.75</v>
      </c>
      <c r="J5">
        <v>90</v>
      </c>
      <c r="K5" t="str">
        <v>PROPOSED</v>
      </c>
    </row>
    <row r="6">
      <c r="A6" t="str">
        <v>Working Hours / Day</v>
      </c>
      <c r="B6">
        <v>8</v>
      </c>
      <c r="C6" t="str">
        <v>hours</v>
      </c>
      <c r="D6" t="str">
        <v>PROPOSED</v>
      </c>
      <c r="E6" t="str">
        <v/>
      </c>
      <c r="F6" t="str">
        <v>Recommended Team</v>
      </c>
      <c r="G6">
        <v>5</v>
      </c>
      <c r="H6">
        <v>40</v>
      </c>
      <c r="I6">
        <v>0.75</v>
      </c>
      <c r="J6">
        <v>150</v>
      </c>
      <c r="K6" t="str">
        <v>PROPOSED</v>
      </c>
    </row>
    <row r="7">
      <c r="A7" t="str">
        <v>Working Days / Week</v>
      </c>
      <c r="B7">
        <v>5</v>
      </c>
      <c r="C7" t="str">
        <v>days</v>
      </c>
      <c r="D7" t="str">
        <v>PROPOSED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Productive Capacity / FTE</v>
      </c>
      <c r="B8">
        <v>0.75</v>
      </c>
      <c r="C8" t="str">
        <v>% of nominal</v>
      </c>
      <c r="D8" t="str">
        <v>PROPOSED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Project Start Date</v>
      </c>
      <c r="B9" t="str">
        <v/>
      </c>
      <c r="C9" t="str">
        <v>date</v>
      </c>
      <c r="D9" t="str">
        <v>TBD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Blended Hourly Rate</v>
      </c>
      <c r="B10">
        <v>0</v>
      </c>
      <c r="C10" t="str">
        <v>selected currency/hour</v>
      </c>
      <c r="D10" t="str">
        <v>TBD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Currency</v>
      </c>
      <c r="B11" t="str">
        <v>EGP</v>
      </c>
      <c r="C11" t="str">
        <v/>
      </c>
      <c r="D11" t="str">
        <v>TBD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P0 Scope</v>
      </c>
      <c r="B12" t="str">
        <v>MVP-P0 (includes Daily)</v>
      </c>
      <c r="C12" t="str">
        <v/>
      </c>
      <c r="D12" t="str">
        <v>CONFIRMED baseline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P1 Scope</v>
      </c>
      <c r="B13" t="str">
        <v>Post-launch Events / remaining P1</v>
      </c>
      <c r="C13" t="str">
        <v/>
      </c>
      <c r="D13" t="str">
        <v>CONFIRMED Events post-launch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Decision Align v1.1 note</v>
      </c>
      <c r="B14" t="str">
        <v>Always-on Azure/ASP.NET/PG infra removed from MVP estimates via E12 retarget to Firebase serverless (reallocation). No invented calendar dates.</v>
      </c>
      <c r="C14" t="str">
        <v/>
      </c>
      <c r="D14" t="str">
        <v>CONFIRMED guidance</v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471"/>
  <sheetViews>
    <sheetView workbookViewId="0"/>
  </sheetViews>
  <sheetData>
    <row r="1">
      <c r="A1" t="str">
        <v>Task-Level Estimation Base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Derived from MVP Product Backlog / WBS after Decision Align v1.1 Firebase-first rebase. Planned Hours = Base Hours × (1+contingency). Dates/staffing TBD.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WBS</v>
      </c>
      <c r="B3" t="str">
        <v>Epic ID</v>
      </c>
      <c r="C3" t="str">
        <v>Epic</v>
      </c>
      <c r="D3" t="str">
        <v>Item ID</v>
      </c>
      <c r="E3" t="str">
        <v>Task</v>
      </c>
      <c r="F3" t="str">
        <v>Phase</v>
      </c>
      <c r="G3" t="str">
        <v>Decision State</v>
      </c>
      <c r="H3" t="str">
        <v>Primary Role</v>
      </c>
      <c r="I3" t="str">
        <v>Workstream</v>
      </c>
      <c r="J3" t="str">
        <v>Story Points</v>
      </c>
      <c r="K3" t="str">
        <v>Base Hours</v>
      </c>
      <c r="L3" t="str">
        <v>Contingency Hours</v>
      </c>
      <c r="M3" t="str">
        <v>Planned Hours</v>
      </c>
      <c r="N3" t="str">
        <v>Status</v>
      </c>
    </row>
    <row r="4">
      <c r="A4" t="str">
        <v>002</v>
      </c>
      <c r="B4" t="str">
        <v>E01</v>
      </c>
      <c r="C4" t="str">
        <v>Product &amp; UX Foundation</v>
      </c>
      <c r="D4" t="str">
        <v>F01.1.T1</v>
      </c>
      <c r="E4" t="str">
        <v>Analysis &amp; Design</v>
      </c>
      <c r="F4" t="str">
        <v>MVP-P0</v>
      </c>
      <c r="G4" t="str">
        <v>PROPOSED</v>
      </c>
      <c r="H4" t="str">
        <v>Product Owner</v>
      </c>
      <c r="I4" t="str">
        <v>Product/UX</v>
      </c>
      <c r="J4">
        <v>2</v>
      </c>
      <c r="K4">
        <v>12</v>
      </c>
      <c r="L4">
        <v>1.7999999999999998</v>
      </c>
      <c r="M4">
        <v>13.8</v>
      </c>
      <c r="N4" t="str">
        <v>Not Started</v>
      </c>
    </row>
    <row r="5">
      <c r="A5" t="str">
        <v>003</v>
      </c>
      <c r="B5" t="str">
        <v>E01</v>
      </c>
      <c r="C5" t="str">
        <v>Product &amp; UX Foundation</v>
      </c>
      <c r="D5" t="str">
        <v>F01.1.T2</v>
      </c>
      <c r="E5" t="str">
        <v>Implementation</v>
      </c>
      <c r="F5" t="str">
        <v>MVP-P0</v>
      </c>
      <c r="G5" t="str">
        <v>PROPOSED</v>
      </c>
      <c r="H5" t="str">
        <v>Product Owner</v>
      </c>
      <c r="I5" t="str">
        <v>Product/UX</v>
      </c>
      <c r="J5">
        <v>3</v>
      </c>
      <c r="K5">
        <v>18</v>
      </c>
      <c r="L5">
        <v>2.6999999999999997</v>
      </c>
      <c r="M5">
        <v>20.7</v>
      </c>
      <c r="N5" t="str">
        <v>Not Started</v>
      </c>
    </row>
    <row r="6">
      <c r="A6" t="str">
        <v>004</v>
      </c>
      <c r="B6" t="str">
        <v>E01</v>
      </c>
      <c r="C6" t="str">
        <v>Product &amp; UX Foundation</v>
      </c>
      <c r="D6" t="str">
        <v>F01.1.T3</v>
      </c>
      <c r="E6" t="str">
        <v>Validation &amp; QA</v>
      </c>
      <c r="F6" t="str">
        <v>MVP-P0</v>
      </c>
      <c r="G6" t="str">
        <v>PROPOSED</v>
      </c>
      <c r="H6" t="str">
        <v>QA Engineer</v>
      </c>
      <c r="I6" t="str">
        <v>Product/UX</v>
      </c>
      <c r="J6">
        <v>2</v>
      </c>
      <c r="K6">
        <v>12</v>
      </c>
      <c r="L6">
        <v>1.7999999999999998</v>
      </c>
      <c r="M6">
        <v>13.8</v>
      </c>
      <c r="N6" t="str">
        <v>Not Started</v>
      </c>
    </row>
    <row r="7">
      <c r="A7" t="str">
        <v>006</v>
      </c>
      <c r="B7" t="str">
        <v>E01</v>
      </c>
      <c r="C7" t="str">
        <v>Product &amp; UX Foundation</v>
      </c>
      <c r="D7" t="str">
        <v>F01.2.T1</v>
      </c>
      <c r="E7" t="str">
        <v>Analysis &amp; Design</v>
      </c>
      <c r="F7" t="str">
        <v>MVP-P0</v>
      </c>
      <c r="G7" t="str">
        <v>PROPOSED</v>
      </c>
      <c r="H7" t="str">
        <v>UX/Game Designer</v>
      </c>
      <c r="I7" t="str">
        <v>Product/UX</v>
      </c>
      <c r="J7">
        <v>3</v>
      </c>
      <c r="K7">
        <v>18</v>
      </c>
      <c r="L7">
        <v>2.6999999999999997</v>
      </c>
      <c r="M7">
        <v>20.7</v>
      </c>
      <c r="N7" t="str">
        <v>Not Started</v>
      </c>
    </row>
    <row r="8">
      <c r="A8" t="str">
        <v>007</v>
      </c>
      <c r="B8" t="str">
        <v>E01</v>
      </c>
      <c r="C8" t="str">
        <v>Product &amp; UX Foundation</v>
      </c>
      <c r="D8" t="str">
        <v>F01.2.T2</v>
      </c>
      <c r="E8" t="str">
        <v>Implementation</v>
      </c>
      <c r="F8" t="str">
        <v>MVP-P0</v>
      </c>
      <c r="G8" t="str">
        <v>PROPOSED</v>
      </c>
      <c r="H8" t="str">
        <v>UX/Game Designer</v>
      </c>
      <c r="I8" t="str">
        <v>Product/UX</v>
      </c>
      <c r="J8">
        <v>4</v>
      </c>
      <c r="K8">
        <v>24</v>
      </c>
      <c r="L8">
        <v>3.5999999999999996</v>
      </c>
      <c r="M8">
        <v>27.6</v>
      </c>
      <c r="N8" t="str">
        <v>Not Started</v>
      </c>
    </row>
    <row r="9">
      <c r="A9" t="str">
        <v>008</v>
      </c>
      <c r="B9" t="str">
        <v>E01</v>
      </c>
      <c r="C9" t="str">
        <v>Product &amp; UX Foundation</v>
      </c>
      <c r="D9" t="str">
        <v>F01.2.T3</v>
      </c>
      <c r="E9" t="str">
        <v>Validation &amp; QA</v>
      </c>
      <c r="F9" t="str">
        <v>MVP-P0</v>
      </c>
      <c r="G9" t="str">
        <v>PROPOSED</v>
      </c>
      <c r="H9" t="str">
        <v>QA Engineer</v>
      </c>
      <c r="I9" t="str">
        <v>Product/UX</v>
      </c>
      <c r="J9">
        <v>3</v>
      </c>
      <c r="K9">
        <v>18</v>
      </c>
      <c r="L9">
        <v>2.6999999999999997</v>
      </c>
      <c r="M9">
        <v>20.7</v>
      </c>
      <c r="N9" t="str">
        <v>Not Started</v>
      </c>
    </row>
    <row r="10">
      <c r="A10" t="str">
        <v>010</v>
      </c>
      <c r="B10" t="str">
        <v>E01</v>
      </c>
      <c r="C10" t="str">
        <v>Product &amp; UX Foundation</v>
      </c>
      <c r="D10" t="str">
        <v>F01.3.T1</v>
      </c>
      <c r="E10" t="str">
        <v>Analysis &amp; Design</v>
      </c>
      <c r="F10" t="str">
        <v>MVP-P0</v>
      </c>
      <c r="G10" t="str">
        <v>PROPOSED</v>
      </c>
      <c r="H10" t="str">
        <v>UX Designer</v>
      </c>
      <c r="I10" t="str">
        <v>Product/UX</v>
      </c>
      <c r="J10">
        <v>3</v>
      </c>
      <c r="K10">
        <v>18</v>
      </c>
      <c r="L10">
        <v>2.6999999999999997</v>
      </c>
      <c r="M10">
        <v>20.7</v>
      </c>
      <c r="N10" t="str">
        <v>Not Started</v>
      </c>
    </row>
    <row r="11">
      <c r="A11" t="str">
        <v>011</v>
      </c>
      <c r="B11" t="str">
        <v>E01</v>
      </c>
      <c r="C11" t="str">
        <v>Product &amp; UX Foundation</v>
      </c>
      <c r="D11" t="str">
        <v>F01.3.T2</v>
      </c>
      <c r="E11" t="str">
        <v>Implementation</v>
      </c>
      <c r="F11" t="str">
        <v>MVP-P0</v>
      </c>
      <c r="G11" t="str">
        <v>PROPOSED</v>
      </c>
      <c r="H11" t="str">
        <v>UX Designer</v>
      </c>
      <c r="I11" t="str">
        <v>Product/UX</v>
      </c>
      <c r="J11">
        <v>4</v>
      </c>
      <c r="K11">
        <v>24</v>
      </c>
      <c r="L11">
        <v>3.5999999999999996</v>
      </c>
      <c r="M11">
        <v>27.6</v>
      </c>
      <c r="N11" t="str">
        <v>Not Started</v>
      </c>
    </row>
    <row r="12">
      <c r="A12" t="str">
        <v>012</v>
      </c>
      <c r="B12" t="str">
        <v>E01</v>
      </c>
      <c r="C12" t="str">
        <v>Product &amp; UX Foundation</v>
      </c>
      <c r="D12" t="str">
        <v>F01.3.T3</v>
      </c>
      <c r="E12" t="str">
        <v>Validation &amp; QA</v>
      </c>
      <c r="F12" t="str">
        <v>MVP-P0</v>
      </c>
      <c r="G12" t="str">
        <v>PROPOSED</v>
      </c>
      <c r="H12" t="str">
        <v>QA Engineer</v>
      </c>
      <c r="I12" t="str">
        <v>Product/UX</v>
      </c>
      <c r="J12">
        <v>3</v>
      </c>
      <c r="K12">
        <v>18</v>
      </c>
      <c r="L12">
        <v>2.6999999999999997</v>
      </c>
      <c r="M12">
        <v>20.7</v>
      </c>
      <c r="N12" t="str">
        <v>Not Started</v>
      </c>
    </row>
    <row r="13">
      <c r="A13" t="str">
        <v>014</v>
      </c>
      <c r="B13" t="str">
        <v>E01</v>
      </c>
      <c r="C13" t="str">
        <v>Product &amp; UX Foundation</v>
      </c>
      <c r="D13" t="str">
        <v>F01.4.T1</v>
      </c>
      <c r="E13" t="str">
        <v>Analysis &amp; Design</v>
      </c>
      <c r="F13" t="str">
        <v>MVP-P0</v>
      </c>
      <c r="G13" t="str">
        <v>PROPOSED</v>
      </c>
      <c r="H13" t="str">
        <v>UI Designer</v>
      </c>
      <c r="I13" t="str">
        <v>Product/UX</v>
      </c>
      <c r="J13">
        <v>3</v>
      </c>
      <c r="K13">
        <v>18</v>
      </c>
      <c r="L13">
        <v>2.6999999999999997</v>
      </c>
      <c r="M13">
        <v>20.7</v>
      </c>
      <c r="N13" t="str">
        <v>Not Started</v>
      </c>
    </row>
    <row r="14">
      <c r="A14" t="str">
        <v>015</v>
      </c>
      <c r="B14" t="str">
        <v>E01</v>
      </c>
      <c r="C14" t="str">
        <v>Product &amp; UX Foundation</v>
      </c>
      <c r="D14" t="str">
        <v>F01.4.T2</v>
      </c>
      <c r="E14" t="str">
        <v>Implementation</v>
      </c>
      <c r="F14" t="str">
        <v>MVP-P0</v>
      </c>
      <c r="G14" t="str">
        <v>PROPOSED</v>
      </c>
      <c r="H14" t="str">
        <v>UI Designer</v>
      </c>
      <c r="I14" t="str">
        <v>Product/UX</v>
      </c>
      <c r="J14">
        <v>4</v>
      </c>
      <c r="K14">
        <v>24</v>
      </c>
      <c r="L14">
        <v>3.5999999999999996</v>
      </c>
      <c r="M14">
        <v>27.6</v>
      </c>
      <c r="N14" t="str">
        <v>Not Started</v>
      </c>
    </row>
    <row r="15">
      <c r="A15" t="str">
        <v>016</v>
      </c>
      <c r="B15" t="str">
        <v>E01</v>
      </c>
      <c r="C15" t="str">
        <v>Product &amp; UX Foundation</v>
      </c>
      <c r="D15" t="str">
        <v>F01.4.T3</v>
      </c>
      <c r="E15" t="str">
        <v>Validation &amp; QA</v>
      </c>
      <c r="F15" t="str">
        <v>MVP-P0</v>
      </c>
      <c r="G15" t="str">
        <v>PROPOSED</v>
      </c>
      <c r="H15" t="str">
        <v>QA Engineer</v>
      </c>
      <c r="I15" t="str">
        <v>Product/UX</v>
      </c>
      <c r="J15">
        <v>3</v>
      </c>
      <c r="K15">
        <v>18</v>
      </c>
      <c r="L15">
        <v>2.6999999999999997</v>
      </c>
      <c r="M15">
        <v>20.7</v>
      </c>
      <c r="N15" t="str">
        <v>Not Started</v>
      </c>
    </row>
    <row r="16">
      <c r="A16" t="str">
        <v>018</v>
      </c>
      <c r="B16" t="str">
        <v>E01</v>
      </c>
      <c r="C16" t="str">
        <v>Product &amp; UX Foundation</v>
      </c>
      <c r="D16" t="str">
        <v>F01.5.T1</v>
      </c>
      <c r="E16" t="str">
        <v>Analysis &amp; Design</v>
      </c>
      <c r="F16" t="str">
        <v>MVP-P0</v>
      </c>
      <c r="G16" t="str">
        <v>PROPOSED</v>
      </c>
      <c r="H16" t="str">
        <v>UX Designer</v>
      </c>
      <c r="I16" t="str">
        <v>Product/UX</v>
      </c>
      <c r="J16">
        <v>2</v>
      </c>
      <c r="K16">
        <v>12</v>
      </c>
      <c r="L16">
        <v>1.7999999999999998</v>
      </c>
      <c r="M16">
        <v>13.8</v>
      </c>
      <c r="N16" t="str">
        <v>Not Started</v>
      </c>
    </row>
    <row r="17">
      <c r="A17" t="str">
        <v>019</v>
      </c>
      <c r="B17" t="str">
        <v>E01</v>
      </c>
      <c r="C17" t="str">
        <v>Product &amp; UX Foundation</v>
      </c>
      <c r="D17" t="str">
        <v>F01.5.T2</v>
      </c>
      <c r="E17" t="str">
        <v>Implementation</v>
      </c>
      <c r="F17" t="str">
        <v>MVP-P0</v>
      </c>
      <c r="G17" t="str">
        <v>PROPOSED</v>
      </c>
      <c r="H17" t="str">
        <v>UX Designer</v>
      </c>
      <c r="I17" t="str">
        <v>Product/UX</v>
      </c>
      <c r="J17">
        <v>3</v>
      </c>
      <c r="K17">
        <v>18</v>
      </c>
      <c r="L17">
        <v>2.6999999999999997</v>
      </c>
      <c r="M17">
        <v>20.7</v>
      </c>
      <c r="N17" t="str">
        <v>Not Started</v>
      </c>
    </row>
    <row r="18">
      <c r="A18" t="str">
        <v>020</v>
      </c>
      <c r="B18" t="str">
        <v>E01</v>
      </c>
      <c r="C18" t="str">
        <v>Product &amp; UX Foundation</v>
      </c>
      <c r="D18" t="str">
        <v>F01.5.T3</v>
      </c>
      <c r="E18" t="str">
        <v>Validation &amp; QA</v>
      </c>
      <c r="F18" t="str">
        <v>MVP-P0</v>
      </c>
      <c r="G18" t="str">
        <v>PROPOSED</v>
      </c>
      <c r="H18" t="str">
        <v>QA Engineer</v>
      </c>
      <c r="I18" t="str">
        <v>Product/UX</v>
      </c>
      <c r="J18">
        <v>2</v>
      </c>
      <c r="K18">
        <v>12</v>
      </c>
      <c r="L18">
        <v>1.7999999999999998</v>
      </c>
      <c r="M18">
        <v>13.8</v>
      </c>
      <c r="N18" t="str">
        <v>Not Started</v>
      </c>
    </row>
    <row r="19">
      <c r="A19" t="str">
        <v>022</v>
      </c>
      <c r="B19" t="str">
        <v>E02</v>
      </c>
      <c r="C19" t="str">
        <v>Arabic Content System</v>
      </c>
      <c r="D19" t="str">
        <v>F02.1.T1</v>
      </c>
      <c r="E19" t="str">
        <v>Analysis &amp; Design</v>
      </c>
      <c r="F19" t="str">
        <v>MVP-P0</v>
      </c>
      <c r="G19" t="str">
        <v>CONFIRMED/PROPOSED</v>
      </c>
      <c r="H19" t="str">
        <v>Content Architect</v>
      </c>
      <c r="I19" t="str">
        <v>Content</v>
      </c>
      <c r="J19">
        <v>3</v>
      </c>
      <c r="K19">
        <v>18</v>
      </c>
      <c r="L19">
        <v>2.6999999999999997</v>
      </c>
      <c r="M19">
        <v>20.7</v>
      </c>
      <c r="N19" t="str">
        <v>Not Started</v>
      </c>
    </row>
    <row r="20">
      <c r="A20" t="str">
        <v>023</v>
      </c>
      <c r="B20" t="str">
        <v>E02</v>
      </c>
      <c r="C20" t="str">
        <v>Arabic Content System</v>
      </c>
      <c r="D20" t="str">
        <v>F02.1.T2</v>
      </c>
      <c r="E20" t="str">
        <v>Implementation</v>
      </c>
      <c r="F20" t="str">
        <v>MVP-P0</v>
      </c>
      <c r="G20" t="str">
        <v>CONFIRMED/PROPOSED</v>
      </c>
      <c r="H20" t="str">
        <v>Content Architect</v>
      </c>
      <c r="I20" t="str">
        <v>Content</v>
      </c>
      <c r="J20">
        <v>4</v>
      </c>
      <c r="K20">
        <v>24</v>
      </c>
      <c r="L20">
        <v>3.5999999999999996</v>
      </c>
      <c r="M20">
        <v>27.6</v>
      </c>
      <c r="N20" t="str">
        <v>Not Started</v>
      </c>
    </row>
    <row r="21">
      <c r="A21" t="str">
        <v>024</v>
      </c>
      <c r="B21" t="str">
        <v>E02</v>
      </c>
      <c r="C21" t="str">
        <v>Arabic Content System</v>
      </c>
      <c r="D21" t="str">
        <v>F02.1.T3</v>
      </c>
      <c r="E21" t="str">
        <v>Validation &amp; QA</v>
      </c>
      <c r="F21" t="str">
        <v>MVP-P0</v>
      </c>
      <c r="G21" t="str">
        <v>CONFIRMED/PROPOSED</v>
      </c>
      <c r="H21" t="str">
        <v>QA Engineer</v>
      </c>
      <c r="I21" t="str">
        <v>Content</v>
      </c>
      <c r="J21">
        <v>3</v>
      </c>
      <c r="K21">
        <v>18</v>
      </c>
      <c r="L21">
        <v>2.6999999999999997</v>
      </c>
      <c r="M21">
        <v>20.7</v>
      </c>
      <c r="N21" t="str">
        <v>Not Started</v>
      </c>
    </row>
    <row r="22">
      <c r="A22" t="str">
        <v>026</v>
      </c>
      <c r="B22" t="str">
        <v>E02</v>
      </c>
      <c r="C22" t="str">
        <v>Arabic Content System</v>
      </c>
      <c r="D22" t="str">
        <v>F02.2.T1</v>
      </c>
      <c r="E22" t="str">
        <v>Analysis &amp; Design</v>
      </c>
      <c r="F22" t="str">
        <v>MVP-P0</v>
      </c>
      <c r="G22" t="str">
        <v>PROPOSED</v>
      </c>
      <c r="H22" t="str">
        <v>Content Lead</v>
      </c>
      <c r="I22" t="str">
        <v>Content</v>
      </c>
      <c r="J22">
        <v>2</v>
      </c>
      <c r="K22">
        <v>12</v>
      </c>
      <c r="L22">
        <v>1.7999999999999998</v>
      </c>
      <c r="M22">
        <v>13.8</v>
      </c>
      <c r="N22" t="str">
        <v>Not Started</v>
      </c>
    </row>
    <row r="23">
      <c r="A23" t="str">
        <v>027</v>
      </c>
      <c r="B23" t="str">
        <v>E02</v>
      </c>
      <c r="C23" t="str">
        <v>Arabic Content System</v>
      </c>
      <c r="D23" t="str">
        <v>F02.2.T2</v>
      </c>
      <c r="E23" t="str">
        <v>Implementation</v>
      </c>
      <c r="F23" t="str">
        <v>MVP-P0</v>
      </c>
      <c r="G23" t="str">
        <v>PROPOSED</v>
      </c>
      <c r="H23" t="str">
        <v>Content Lead</v>
      </c>
      <c r="I23" t="str">
        <v>Content</v>
      </c>
      <c r="J23">
        <v>3</v>
      </c>
      <c r="K23">
        <v>18</v>
      </c>
      <c r="L23">
        <v>2.6999999999999997</v>
      </c>
      <c r="M23">
        <v>20.7</v>
      </c>
      <c r="N23" t="str">
        <v>Not Started</v>
      </c>
    </row>
    <row r="24">
      <c r="A24" t="str">
        <v>028</v>
      </c>
      <c r="B24" t="str">
        <v>E02</v>
      </c>
      <c r="C24" t="str">
        <v>Arabic Content System</v>
      </c>
      <c r="D24" t="str">
        <v>F02.2.T3</v>
      </c>
      <c r="E24" t="str">
        <v>Validation &amp; QA</v>
      </c>
      <c r="F24" t="str">
        <v>MVP-P0</v>
      </c>
      <c r="G24" t="str">
        <v>PROPOSED</v>
      </c>
      <c r="H24" t="str">
        <v>QA Engineer</v>
      </c>
      <c r="I24" t="str">
        <v>Content</v>
      </c>
      <c r="J24">
        <v>2</v>
      </c>
      <c r="K24">
        <v>12</v>
      </c>
      <c r="L24">
        <v>1.7999999999999998</v>
      </c>
      <c r="M24">
        <v>13.8</v>
      </c>
      <c r="N24" t="str">
        <v>Not Started</v>
      </c>
    </row>
    <row r="25">
      <c r="A25" t="str">
        <v>030</v>
      </c>
      <c r="B25" t="str">
        <v>E02</v>
      </c>
      <c r="C25" t="str">
        <v>Arabic Content System</v>
      </c>
      <c r="D25" t="str">
        <v>F02.3.T1</v>
      </c>
      <c r="E25" t="str">
        <v>Analysis &amp; Design</v>
      </c>
      <c r="F25" t="str">
        <v>MVP-P0</v>
      </c>
      <c r="G25" t="str">
        <v>CONFIRMED</v>
      </c>
      <c r="H25" t="str">
        <v>Content Designer</v>
      </c>
      <c r="I25" t="str">
        <v>Content</v>
      </c>
      <c r="J25">
        <v>3</v>
      </c>
      <c r="K25">
        <v>18</v>
      </c>
      <c r="L25">
        <v>2.6999999999999997</v>
      </c>
      <c r="M25">
        <v>20.7</v>
      </c>
      <c r="N25" t="str">
        <v>Not Started</v>
      </c>
    </row>
    <row r="26">
      <c r="A26" t="str">
        <v>031</v>
      </c>
      <c r="B26" t="str">
        <v>E02</v>
      </c>
      <c r="C26" t="str">
        <v>Arabic Content System</v>
      </c>
      <c r="D26" t="str">
        <v>F02.3.T2</v>
      </c>
      <c r="E26" t="str">
        <v>Implementation</v>
      </c>
      <c r="F26" t="str">
        <v>MVP-P0</v>
      </c>
      <c r="G26" t="str">
        <v>CONFIRMED</v>
      </c>
      <c r="H26" t="str">
        <v>Content Designer</v>
      </c>
      <c r="I26" t="str">
        <v>Content</v>
      </c>
      <c r="J26">
        <v>4</v>
      </c>
      <c r="K26">
        <v>24</v>
      </c>
      <c r="L26">
        <v>3.5999999999999996</v>
      </c>
      <c r="M26">
        <v>27.6</v>
      </c>
      <c r="N26" t="str">
        <v>Not Started</v>
      </c>
    </row>
    <row r="27">
      <c r="A27" t="str">
        <v>032</v>
      </c>
      <c r="B27" t="str">
        <v>E02</v>
      </c>
      <c r="C27" t="str">
        <v>Arabic Content System</v>
      </c>
      <c r="D27" t="str">
        <v>F02.3.T3</v>
      </c>
      <c r="E27" t="str">
        <v>Validation &amp; QA</v>
      </c>
      <c r="F27" t="str">
        <v>MVP-P0</v>
      </c>
      <c r="G27" t="str">
        <v>CONFIRMED</v>
      </c>
      <c r="H27" t="str">
        <v>QA Engineer</v>
      </c>
      <c r="I27" t="str">
        <v>Content</v>
      </c>
      <c r="J27">
        <v>3</v>
      </c>
      <c r="K27">
        <v>18</v>
      </c>
      <c r="L27">
        <v>2.6999999999999997</v>
      </c>
      <c r="M27">
        <v>20.7</v>
      </c>
      <c r="N27" t="str">
        <v>Not Started</v>
      </c>
    </row>
    <row r="28">
      <c r="A28" t="str">
        <v>034</v>
      </c>
      <c r="B28" t="str">
        <v>E02</v>
      </c>
      <c r="C28" t="str">
        <v>Arabic Content System</v>
      </c>
      <c r="D28" t="str">
        <v>F02.4.T1</v>
      </c>
      <c r="E28" t="str">
        <v>Analysis &amp; Design</v>
      </c>
      <c r="F28" t="str">
        <v>MVP-P0</v>
      </c>
      <c r="G28" t="str">
        <v>CONFIRMED</v>
      </c>
      <c r="H28" t="str">
        <v>Content Designer</v>
      </c>
      <c r="I28" t="str">
        <v>Content</v>
      </c>
      <c r="J28">
        <v>3</v>
      </c>
      <c r="K28">
        <v>18</v>
      </c>
      <c r="L28">
        <v>2.6999999999999997</v>
      </c>
      <c r="M28">
        <v>20.7</v>
      </c>
      <c r="N28" t="str">
        <v>Not Started</v>
      </c>
    </row>
    <row r="29">
      <c r="A29" t="str">
        <v>035</v>
      </c>
      <c r="B29" t="str">
        <v>E02</v>
      </c>
      <c r="C29" t="str">
        <v>Arabic Content System</v>
      </c>
      <c r="D29" t="str">
        <v>F02.4.T2</v>
      </c>
      <c r="E29" t="str">
        <v>Implementation</v>
      </c>
      <c r="F29" t="str">
        <v>MVP-P0</v>
      </c>
      <c r="G29" t="str">
        <v>CONFIRMED</v>
      </c>
      <c r="H29" t="str">
        <v>Content Designer</v>
      </c>
      <c r="I29" t="str">
        <v>Content</v>
      </c>
      <c r="J29">
        <v>4</v>
      </c>
      <c r="K29">
        <v>24</v>
      </c>
      <c r="L29">
        <v>3.5999999999999996</v>
      </c>
      <c r="M29">
        <v>27.6</v>
      </c>
      <c r="N29" t="str">
        <v>Not Started</v>
      </c>
    </row>
    <row r="30">
      <c r="A30" t="str">
        <v>036</v>
      </c>
      <c r="B30" t="str">
        <v>E02</v>
      </c>
      <c r="C30" t="str">
        <v>Arabic Content System</v>
      </c>
      <c r="D30" t="str">
        <v>F02.4.T3</v>
      </c>
      <c r="E30" t="str">
        <v>Validation &amp; QA</v>
      </c>
      <c r="F30" t="str">
        <v>MVP-P0</v>
      </c>
      <c r="G30" t="str">
        <v>CONFIRMED</v>
      </c>
      <c r="H30" t="str">
        <v>QA Engineer</v>
      </c>
      <c r="I30" t="str">
        <v>Content</v>
      </c>
      <c r="J30">
        <v>3</v>
      </c>
      <c r="K30">
        <v>18</v>
      </c>
      <c r="L30">
        <v>2.6999999999999997</v>
      </c>
      <c r="M30">
        <v>20.7</v>
      </c>
      <c r="N30" t="str">
        <v>Not Started</v>
      </c>
    </row>
    <row r="31">
      <c r="A31" t="str">
        <v>038</v>
      </c>
      <c r="B31" t="str">
        <v>E02</v>
      </c>
      <c r="C31" t="str">
        <v>Arabic Content System</v>
      </c>
      <c r="D31" t="str">
        <v>F02.5.T1</v>
      </c>
      <c r="E31" t="str">
        <v>Analysis &amp; Design</v>
      </c>
      <c r="F31" t="str">
        <v>MVP-P0</v>
      </c>
      <c r="G31" t="str">
        <v>CONFIRMED</v>
      </c>
      <c r="H31" t="str">
        <v>Content Designer</v>
      </c>
      <c r="I31" t="str">
        <v>Content</v>
      </c>
      <c r="J31">
        <v>3</v>
      </c>
      <c r="K31">
        <v>18</v>
      </c>
      <c r="L31">
        <v>2.6999999999999997</v>
      </c>
      <c r="M31">
        <v>20.7</v>
      </c>
      <c r="N31" t="str">
        <v>Not Started</v>
      </c>
    </row>
    <row r="32">
      <c r="A32" t="str">
        <v>039</v>
      </c>
      <c r="B32" t="str">
        <v>E02</v>
      </c>
      <c r="C32" t="str">
        <v>Arabic Content System</v>
      </c>
      <c r="D32" t="str">
        <v>F02.5.T2</v>
      </c>
      <c r="E32" t="str">
        <v>Implementation</v>
      </c>
      <c r="F32" t="str">
        <v>MVP-P0</v>
      </c>
      <c r="G32" t="str">
        <v>CONFIRMED</v>
      </c>
      <c r="H32" t="str">
        <v>Content Designer</v>
      </c>
      <c r="I32" t="str">
        <v>Content</v>
      </c>
      <c r="J32">
        <v>4</v>
      </c>
      <c r="K32">
        <v>24</v>
      </c>
      <c r="L32">
        <v>3.5999999999999996</v>
      </c>
      <c r="M32">
        <v>27.6</v>
      </c>
      <c r="N32" t="str">
        <v>Not Started</v>
      </c>
    </row>
    <row r="33">
      <c r="A33" t="str">
        <v>040</v>
      </c>
      <c r="B33" t="str">
        <v>E02</v>
      </c>
      <c r="C33" t="str">
        <v>Arabic Content System</v>
      </c>
      <c r="D33" t="str">
        <v>F02.5.T3</v>
      </c>
      <c r="E33" t="str">
        <v>Validation &amp; QA</v>
      </c>
      <c r="F33" t="str">
        <v>MVP-P0</v>
      </c>
      <c r="G33" t="str">
        <v>CONFIRMED</v>
      </c>
      <c r="H33" t="str">
        <v>QA Engineer</v>
      </c>
      <c r="I33" t="str">
        <v>Content</v>
      </c>
      <c r="J33">
        <v>3</v>
      </c>
      <c r="K33">
        <v>18</v>
      </c>
      <c r="L33">
        <v>2.6999999999999997</v>
      </c>
      <c r="M33">
        <v>20.7</v>
      </c>
      <c r="N33" t="str">
        <v>Not Started</v>
      </c>
    </row>
    <row r="34">
      <c r="A34" t="str">
        <v>042</v>
      </c>
      <c r="B34" t="str">
        <v>E02</v>
      </c>
      <c r="C34" t="str">
        <v>Arabic Content System</v>
      </c>
      <c r="D34" t="str">
        <v>F02.6.T1</v>
      </c>
      <c r="E34" t="str">
        <v>Analysis &amp; Design</v>
      </c>
      <c r="F34" t="str">
        <v>MVP-P0</v>
      </c>
      <c r="G34" t="str">
        <v>PROPOSED</v>
      </c>
      <c r="H34" t="str">
        <v>Arabic Reviewer</v>
      </c>
      <c r="I34" t="str">
        <v>Content</v>
      </c>
      <c r="J34">
        <v>2</v>
      </c>
      <c r="K34">
        <v>12</v>
      </c>
      <c r="L34">
        <v>1.7999999999999998</v>
      </c>
      <c r="M34">
        <v>13.8</v>
      </c>
      <c r="N34" t="str">
        <v>Not Started</v>
      </c>
    </row>
    <row r="35">
      <c r="A35" t="str">
        <v>043</v>
      </c>
      <c r="B35" t="str">
        <v>E02</v>
      </c>
      <c r="C35" t="str">
        <v>Arabic Content System</v>
      </c>
      <c r="D35" t="str">
        <v>F02.6.T2</v>
      </c>
      <c r="E35" t="str">
        <v>Implementation</v>
      </c>
      <c r="F35" t="str">
        <v>MVP-P0</v>
      </c>
      <c r="G35" t="str">
        <v>PROPOSED</v>
      </c>
      <c r="H35" t="str">
        <v>Arabic Reviewer</v>
      </c>
      <c r="I35" t="str">
        <v>Content</v>
      </c>
      <c r="J35">
        <v>3</v>
      </c>
      <c r="K35">
        <v>18</v>
      </c>
      <c r="L35">
        <v>2.6999999999999997</v>
      </c>
      <c r="M35">
        <v>20.7</v>
      </c>
      <c r="N35" t="str">
        <v>Not Started</v>
      </c>
    </row>
    <row r="36">
      <c r="A36" t="str">
        <v>044</v>
      </c>
      <c r="B36" t="str">
        <v>E02</v>
      </c>
      <c r="C36" t="str">
        <v>Arabic Content System</v>
      </c>
      <c r="D36" t="str">
        <v>F02.6.T3</v>
      </c>
      <c r="E36" t="str">
        <v>Validation &amp; QA</v>
      </c>
      <c r="F36" t="str">
        <v>MVP-P0</v>
      </c>
      <c r="G36" t="str">
        <v>PROPOSED</v>
      </c>
      <c r="H36" t="str">
        <v>QA Engineer</v>
      </c>
      <c r="I36" t="str">
        <v>Content</v>
      </c>
      <c r="J36">
        <v>2</v>
      </c>
      <c r="K36">
        <v>12</v>
      </c>
      <c r="L36">
        <v>1.7999999999999998</v>
      </c>
      <c r="M36">
        <v>13.8</v>
      </c>
      <c r="N36" t="str">
        <v>Not Started</v>
      </c>
    </row>
    <row r="37">
      <c r="A37" t="str">
        <v>046</v>
      </c>
      <c r="B37" t="str">
        <v>E02</v>
      </c>
      <c r="C37" t="str">
        <v>Arabic Content System</v>
      </c>
      <c r="D37" t="str">
        <v>F02.7.T1</v>
      </c>
      <c r="E37" t="str">
        <v>Analysis &amp; Design</v>
      </c>
      <c r="F37" t="str">
        <v>MVP-P0</v>
      </c>
      <c r="G37" t="str">
        <v>PROPOSED</v>
      </c>
      <c r="H37" t="str">
        <v>Content Engineer</v>
      </c>
      <c r="I37" t="str">
        <v>Content</v>
      </c>
      <c r="J37">
        <v>3</v>
      </c>
      <c r="K37">
        <v>18</v>
      </c>
      <c r="L37">
        <v>2.6999999999999997</v>
      </c>
      <c r="M37">
        <v>20.7</v>
      </c>
      <c r="N37" t="str">
        <v>Not Started</v>
      </c>
    </row>
    <row r="38">
      <c r="A38" t="str">
        <v>047</v>
      </c>
      <c r="B38" t="str">
        <v>E02</v>
      </c>
      <c r="C38" t="str">
        <v>Arabic Content System</v>
      </c>
      <c r="D38" t="str">
        <v>F02.7.T2</v>
      </c>
      <c r="E38" t="str">
        <v>Implementation</v>
      </c>
      <c r="F38" t="str">
        <v>MVP-P0</v>
      </c>
      <c r="G38" t="str">
        <v>PROPOSED</v>
      </c>
      <c r="H38" t="str">
        <v>Content Engineer</v>
      </c>
      <c r="I38" t="str">
        <v>Content</v>
      </c>
      <c r="J38">
        <v>4</v>
      </c>
      <c r="K38">
        <v>24</v>
      </c>
      <c r="L38">
        <v>3.5999999999999996</v>
      </c>
      <c r="M38">
        <v>27.6</v>
      </c>
      <c r="N38" t="str">
        <v>Not Started</v>
      </c>
    </row>
    <row r="39">
      <c r="A39" t="str">
        <v>048</v>
      </c>
      <c r="B39" t="str">
        <v>E02</v>
      </c>
      <c r="C39" t="str">
        <v>Arabic Content System</v>
      </c>
      <c r="D39" t="str">
        <v>F02.7.T3</v>
      </c>
      <c r="E39" t="str">
        <v>Validation &amp; QA</v>
      </c>
      <c r="F39" t="str">
        <v>MVP-P0</v>
      </c>
      <c r="G39" t="str">
        <v>PROPOSED</v>
      </c>
      <c r="H39" t="str">
        <v>QA Engineer</v>
      </c>
      <c r="I39" t="str">
        <v>Content</v>
      </c>
      <c r="J39">
        <v>3</v>
      </c>
      <c r="K39">
        <v>18</v>
      </c>
      <c r="L39">
        <v>2.6999999999999997</v>
      </c>
      <c r="M39">
        <v>20.7</v>
      </c>
      <c r="N39" t="str">
        <v>Not Started</v>
      </c>
    </row>
    <row r="40">
      <c r="A40" t="str">
        <v>050</v>
      </c>
      <c r="B40" t="str">
        <v>E02</v>
      </c>
      <c r="C40" t="str">
        <v>Arabic Content System</v>
      </c>
      <c r="D40" t="str">
        <v>F02.8.T1</v>
      </c>
      <c r="E40" t="str">
        <v>Analysis &amp; Design</v>
      </c>
      <c r="F40" t="str">
        <v>MVP-P0</v>
      </c>
      <c r="G40" t="str">
        <v>TBD QUANTITY</v>
      </c>
      <c r="H40" t="str">
        <v>Content Team</v>
      </c>
      <c r="I40" t="str">
        <v>Content</v>
      </c>
      <c r="J40">
        <v>5</v>
      </c>
      <c r="K40">
        <v>30</v>
      </c>
      <c r="L40">
        <v>4.5</v>
      </c>
      <c r="M40">
        <v>34.5</v>
      </c>
      <c r="N40" t="str">
        <v>Not Started</v>
      </c>
    </row>
    <row r="41">
      <c r="A41" t="str">
        <v>051</v>
      </c>
      <c r="B41" t="str">
        <v>E02</v>
      </c>
      <c r="C41" t="str">
        <v>Arabic Content System</v>
      </c>
      <c r="D41" t="str">
        <v>F02.8.T2</v>
      </c>
      <c r="E41" t="str">
        <v>Implementation</v>
      </c>
      <c r="F41" t="str">
        <v>MVP-P0</v>
      </c>
      <c r="G41" t="str">
        <v>TBD QUANTITY</v>
      </c>
      <c r="H41" t="str">
        <v>Content Team</v>
      </c>
      <c r="I41" t="str">
        <v>Content</v>
      </c>
      <c r="J41">
        <v>7</v>
      </c>
      <c r="K41">
        <v>42</v>
      </c>
      <c r="L41">
        <v>6.3</v>
      </c>
      <c r="M41">
        <v>48.3</v>
      </c>
      <c r="N41" t="str">
        <v>Not Started</v>
      </c>
    </row>
    <row r="42">
      <c r="A42" t="str">
        <v>052</v>
      </c>
      <c r="B42" t="str">
        <v>E02</v>
      </c>
      <c r="C42" t="str">
        <v>Arabic Content System</v>
      </c>
      <c r="D42" t="str">
        <v>F02.8.T3</v>
      </c>
      <c r="E42" t="str">
        <v>Validation &amp; QA</v>
      </c>
      <c r="F42" t="str">
        <v>MVP-P0</v>
      </c>
      <c r="G42" t="str">
        <v>TBD QUANTITY</v>
      </c>
      <c r="H42" t="str">
        <v>QA Engineer</v>
      </c>
      <c r="I42" t="str">
        <v>Content</v>
      </c>
      <c r="J42">
        <v>5</v>
      </c>
      <c r="K42">
        <v>30</v>
      </c>
      <c r="L42">
        <v>4.5</v>
      </c>
      <c r="M42">
        <v>34.5</v>
      </c>
      <c r="N42" t="str">
        <v>Not Started</v>
      </c>
    </row>
    <row r="43">
      <c r="A43" t="str">
        <v>054</v>
      </c>
      <c r="B43" t="str">
        <v>E03</v>
      </c>
      <c r="C43" t="str">
        <v>Game Engine</v>
      </c>
      <c r="D43" t="str">
        <v>F03.1.T1</v>
      </c>
      <c r="E43" t="str">
        <v>Analysis &amp; Design</v>
      </c>
      <c r="F43" t="str">
        <v>MVP-P0</v>
      </c>
      <c r="G43" t="str">
        <v>CONFIRMED</v>
      </c>
      <c r="H43" t="str">
        <v>Game Engineer</v>
      </c>
      <c r="I43" t="str">
        <v>Engineering</v>
      </c>
      <c r="J43">
        <v>5</v>
      </c>
      <c r="K43">
        <v>30</v>
      </c>
      <c r="L43">
        <v>4.5</v>
      </c>
      <c r="M43">
        <v>34.5</v>
      </c>
      <c r="N43" t="str">
        <v>Not Started</v>
      </c>
    </row>
    <row r="44">
      <c r="A44" t="str">
        <v>055</v>
      </c>
      <c r="B44" t="str">
        <v>E03</v>
      </c>
      <c r="C44" t="str">
        <v>Game Engine</v>
      </c>
      <c r="D44" t="str">
        <v>F03.1.T2</v>
      </c>
      <c r="E44" t="str">
        <v>Implementation</v>
      </c>
      <c r="F44" t="str">
        <v>MVP-P0</v>
      </c>
      <c r="G44" t="str">
        <v>CONFIRMED</v>
      </c>
      <c r="H44" t="str">
        <v>Game Engineer</v>
      </c>
      <c r="I44" t="str">
        <v>Engineering</v>
      </c>
      <c r="J44">
        <v>7</v>
      </c>
      <c r="K44">
        <v>42</v>
      </c>
      <c r="L44">
        <v>6.3</v>
      </c>
      <c r="M44">
        <v>48.3</v>
      </c>
      <c r="N44" t="str">
        <v>Not Started</v>
      </c>
    </row>
    <row r="45">
      <c r="A45" t="str">
        <v>056</v>
      </c>
      <c r="B45" t="str">
        <v>E03</v>
      </c>
      <c r="C45" t="str">
        <v>Game Engine</v>
      </c>
      <c r="D45" t="str">
        <v>F03.1.T3</v>
      </c>
      <c r="E45" t="str">
        <v>Validation &amp; QA</v>
      </c>
      <c r="F45" t="str">
        <v>MVP-P0</v>
      </c>
      <c r="G45" t="str">
        <v>CONFIRMED</v>
      </c>
      <c r="H45" t="str">
        <v>QA Engineer</v>
      </c>
      <c r="I45" t="str">
        <v>Engineering</v>
      </c>
      <c r="J45">
        <v>5</v>
      </c>
      <c r="K45">
        <v>30</v>
      </c>
      <c r="L45">
        <v>4.5</v>
      </c>
      <c r="M45">
        <v>34.5</v>
      </c>
      <c r="N45" t="str">
        <v>Not Started</v>
      </c>
    </row>
    <row r="46">
      <c r="A46" t="str">
        <v>058</v>
      </c>
      <c r="B46" t="str">
        <v>E03</v>
      </c>
      <c r="C46" t="str">
        <v>Game Engine</v>
      </c>
      <c r="D46" t="str">
        <v>F03.2.T1</v>
      </c>
      <c r="E46" t="str">
        <v>Analysis &amp; Design</v>
      </c>
      <c r="F46" t="str">
        <v>MVP-P0</v>
      </c>
      <c r="G46" t="str">
        <v>CONFIRMED</v>
      </c>
      <c r="H46" t="str">
        <v>Game Engineer</v>
      </c>
      <c r="I46" t="str">
        <v>Engineering</v>
      </c>
      <c r="J46">
        <v>5</v>
      </c>
      <c r="K46">
        <v>30</v>
      </c>
      <c r="L46">
        <v>4.5</v>
      </c>
      <c r="M46">
        <v>34.5</v>
      </c>
      <c r="N46" t="str">
        <v>Not Started</v>
      </c>
    </row>
    <row r="47">
      <c r="A47" t="str">
        <v>059</v>
      </c>
      <c r="B47" t="str">
        <v>E03</v>
      </c>
      <c r="C47" t="str">
        <v>Game Engine</v>
      </c>
      <c r="D47" t="str">
        <v>F03.2.T2</v>
      </c>
      <c r="E47" t="str">
        <v>Implementation</v>
      </c>
      <c r="F47" t="str">
        <v>MVP-P0</v>
      </c>
      <c r="G47" t="str">
        <v>CONFIRMED</v>
      </c>
      <c r="H47" t="str">
        <v>Game Engineer</v>
      </c>
      <c r="I47" t="str">
        <v>Engineering</v>
      </c>
      <c r="J47">
        <v>7</v>
      </c>
      <c r="K47">
        <v>42</v>
      </c>
      <c r="L47">
        <v>6.3</v>
      </c>
      <c r="M47">
        <v>48.3</v>
      </c>
      <c r="N47" t="str">
        <v>Not Started</v>
      </c>
    </row>
    <row r="48">
      <c r="A48" t="str">
        <v>060</v>
      </c>
      <c r="B48" t="str">
        <v>E03</v>
      </c>
      <c r="C48" t="str">
        <v>Game Engine</v>
      </c>
      <c r="D48" t="str">
        <v>F03.2.T3</v>
      </c>
      <c r="E48" t="str">
        <v>Validation &amp; QA</v>
      </c>
      <c r="F48" t="str">
        <v>MVP-P0</v>
      </c>
      <c r="G48" t="str">
        <v>CONFIRMED</v>
      </c>
      <c r="H48" t="str">
        <v>QA Engineer</v>
      </c>
      <c r="I48" t="str">
        <v>Engineering</v>
      </c>
      <c r="J48">
        <v>5</v>
      </c>
      <c r="K48">
        <v>30</v>
      </c>
      <c r="L48">
        <v>4.5</v>
      </c>
      <c r="M48">
        <v>34.5</v>
      </c>
      <c r="N48" t="str">
        <v>Not Started</v>
      </c>
    </row>
    <row r="49">
      <c r="A49" t="str">
        <v>062</v>
      </c>
      <c r="B49" t="str">
        <v>E03</v>
      </c>
      <c r="C49" t="str">
        <v>Game Engine</v>
      </c>
      <c r="D49" t="str">
        <v>F03.3.T1</v>
      </c>
      <c r="E49" t="str">
        <v>Analysis &amp; Design</v>
      </c>
      <c r="F49" t="str">
        <v>MVP-P0</v>
      </c>
      <c r="G49" t="str">
        <v>CONFIRMED</v>
      </c>
      <c r="H49" t="str">
        <v>Game Engineer</v>
      </c>
      <c r="I49" t="str">
        <v>Engineering</v>
      </c>
      <c r="J49">
        <v>5</v>
      </c>
      <c r="K49">
        <v>30</v>
      </c>
      <c r="L49">
        <v>4.5</v>
      </c>
      <c r="M49">
        <v>34.5</v>
      </c>
      <c r="N49" t="str">
        <v>Not Started</v>
      </c>
    </row>
    <row r="50">
      <c r="A50" t="str">
        <v>063</v>
      </c>
      <c r="B50" t="str">
        <v>E03</v>
      </c>
      <c r="C50" t="str">
        <v>Game Engine</v>
      </c>
      <c r="D50" t="str">
        <v>F03.3.T2</v>
      </c>
      <c r="E50" t="str">
        <v>Implementation</v>
      </c>
      <c r="F50" t="str">
        <v>MVP-P0</v>
      </c>
      <c r="G50" t="str">
        <v>CONFIRMED</v>
      </c>
      <c r="H50" t="str">
        <v>Game Engineer</v>
      </c>
      <c r="I50" t="str">
        <v>Engineering</v>
      </c>
      <c r="J50">
        <v>7</v>
      </c>
      <c r="K50">
        <v>42</v>
      </c>
      <c r="L50">
        <v>6.3</v>
      </c>
      <c r="M50">
        <v>48.3</v>
      </c>
      <c r="N50" t="str">
        <v>Not Started</v>
      </c>
    </row>
    <row r="51">
      <c r="A51" t="str">
        <v>064</v>
      </c>
      <c r="B51" t="str">
        <v>E03</v>
      </c>
      <c r="C51" t="str">
        <v>Game Engine</v>
      </c>
      <c r="D51" t="str">
        <v>F03.3.T3</v>
      </c>
      <c r="E51" t="str">
        <v>Validation &amp; QA</v>
      </c>
      <c r="F51" t="str">
        <v>MVP-P0</v>
      </c>
      <c r="G51" t="str">
        <v>CONFIRMED</v>
      </c>
      <c r="H51" t="str">
        <v>QA Engineer</v>
      </c>
      <c r="I51" t="str">
        <v>Engineering</v>
      </c>
      <c r="J51">
        <v>5</v>
      </c>
      <c r="K51">
        <v>30</v>
      </c>
      <c r="L51">
        <v>4.5</v>
      </c>
      <c r="M51">
        <v>34.5</v>
      </c>
      <c r="N51" t="str">
        <v>Not Started</v>
      </c>
    </row>
    <row r="52">
      <c r="A52" t="str">
        <v>066</v>
      </c>
      <c r="B52" t="str">
        <v>E03</v>
      </c>
      <c r="C52" t="str">
        <v>Game Engine</v>
      </c>
      <c r="D52" t="str">
        <v>F03.4.T1</v>
      </c>
      <c r="E52" t="str">
        <v>Analysis &amp; Design</v>
      </c>
      <c r="F52" t="str">
        <v>MVP-P0</v>
      </c>
      <c r="G52" t="str">
        <v>CONFIRMED</v>
      </c>
      <c r="H52" t="str">
        <v>Game Engineer</v>
      </c>
      <c r="I52" t="str">
        <v>Engineering</v>
      </c>
      <c r="J52">
        <v>3</v>
      </c>
      <c r="K52">
        <v>18</v>
      </c>
      <c r="L52">
        <v>2.6999999999999997</v>
      </c>
      <c r="M52">
        <v>20.7</v>
      </c>
      <c r="N52" t="str">
        <v>Not Started</v>
      </c>
    </row>
    <row r="53">
      <c r="A53" t="str">
        <v>067</v>
      </c>
      <c r="B53" t="str">
        <v>E03</v>
      </c>
      <c r="C53" t="str">
        <v>Game Engine</v>
      </c>
      <c r="D53" t="str">
        <v>F03.4.T2</v>
      </c>
      <c r="E53" t="str">
        <v>Implementation</v>
      </c>
      <c r="F53" t="str">
        <v>MVP-P0</v>
      </c>
      <c r="G53" t="str">
        <v>CONFIRMED</v>
      </c>
      <c r="H53" t="str">
        <v>Game Engineer</v>
      </c>
      <c r="I53" t="str">
        <v>Engineering</v>
      </c>
      <c r="J53">
        <v>4</v>
      </c>
      <c r="K53">
        <v>24</v>
      </c>
      <c r="L53">
        <v>3.5999999999999996</v>
      </c>
      <c r="M53">
        <v>27.6</v>
      </c>
      <c r="N53" t="str">
        <v>Not Started</v>
      </c>
    </row>
    <row r="54">
      <c r="A54" t="str">
        <v>068</v>
      </c>
      <c r="B54" t="str">
        <v>E03</v>
      </c>
      <c r="C54" t="str">
        <v>Game Engine</v>
      </c>
      <c r="D54" t="str">
        <v>F03.4.T3</v>
      </c>
      <c r="E54" t="str">
        <v>Validation &amp; QA</v>
      </c>
      <c r="F54" t="str">
        <v>MVP-P0</v>
      </c>
      <c r="G54" t="str">
        <v>CONFIRMED</v>
      </c>
      <c r="H54" t="str">
        <v>QA Engineer</v>
      </c>
      <c r="I54" t="str">
        <v>Engineering</v>
      </c>
      <c r="J54">
        <v>3</v>
      </c>
      <c r="K54">
        <v>18</v>
      </c>
      <c r="L54">
        <v>2.6999999999999997</v>
      </c>
      <c r="M54">
        <v>20.7</v>
      </c>
      <c r="N54" t="str">
        <v>Not Started</v>
      </c>
    </row>
    <row r="55">
      <c r="A55" t="str">
        <v>070</v>
      </c>
      <c r="B55" t="str">
        <v>E03</v>
      </c>
      <c r="C55" t="str">
        <v>Game Engine</v>
      </c>
      <c r="D55" t="str">
        <v>F03.5.T1</v>
      </c>
      <c r="E55" t="str">
        <v>Analysis &amp; Design</v>
      </c>
      <c r="F55" t="str">
        <v>MVP-P0</v>
      </c>
      <c r="G55" t="str">
        <v>CONFIRMED</v>
      </c>
      <c r="H55" t="str">
        <v>Game Engineer</v>
      </c>
      <c r="I55" t="str">
        <v>Engineering</v>
      </c>
      <c r="J55">
        <v>3</v>
      </c>
      <c r="K55">
        <v>18</v>
      </c>
      <c r="L55">
        <v>2.6999999999999997</v>
      </c>
      <c r="M55">
        <v>20.7</v>
      </c>
      <c r="N55" t="str">
        <v>Not Started</v>
      </c>
    </row>
    <row r="56">
      <c r="A56" t="str">
        <v>071</v>
      </c>
      <c r="B56" t="str">
        <v>E03</v>
      </c>
      <c r="C56" t="str">
        <v>Game Engine</v>
      </c>
      <c r="D56" t="str">
        <v>F03.5.T2</v>
      </c>
      <c r="E56" t="str">
        <v>Implementation</v>
      </c>
      <c r="F56" t="str">
        <v>MVP-P0</v>
      </c>
      <c r="G56" t="str">
        <v>CONFIRMED</v>
      </c>
      <c r="H56" t="str">
        <v>Game Engineer</v>
      </c>
      <c r="I56" t="str">
        <v>Engineering</v>
      </c>
      <c r="J56">
        <v>4</v>
      </c>
      <c r="K56">
        <v>24</v>
      </c>
      <c r="L56">
        <v>3.5999999999999996</v>
      </c>
      <c r="M56">
        <v>27.6</v>
      </c>
      <c r="N56" t="str">
        <v>Not Started</v>
      </c>
    </row>
    <row r="57">
      <c r="A57" t="str">
        <v>072</v>
      </c>
      <c r="B57" t="str">
        <v>E03</v>
      </c>
      <c r="C57" t="str">
        <v>Game Engine</v>
      </c>
      <c r="D57" t="str">
        <v>F03.5.T3</v>
      </c>
      <c r="E57" t="str">
        <v>Validation &amp; QA</v>
      </c>
      <c r="F57" t="str">
        <v>MVP-P0</v>
      </c>
      <c r="G57" t="str">
        <v>CONFIRMED</v>
      </c>
      <c r="H57" t="str">
        <v>QA Engineer</v>
      </c>
      <c r="I57" t="str">
        <v>Engineering</v>
      </c>
      <c r="J57">
        <v>3</v>
      </c>
      <c r="K57">
        <v>18</v>
      </c>
      <c r="L57">
        <v>2.6999999999999997</v>
      </c>
      <c r="M57">
        <v>20.7</v>
      </c>
      <c r="N57" t="str">
        <v>Not Started</v>
      </c>
    </row>
    <row r="58">
      <c r="A58" t="str">
        <v>074</v>
      </c>
      <c r="B58" t="str">
        <v>E03</v>
      </c>
      <c r="C58" t="str">
        <v>Game Engine</v>
      </c>
      <c r="D58" t="str">
        <v>F03.6.T1</v>
      </c>
      <c r="E58" t="str">
        <v>Analysis &amp; Design</v>
      </c>
      <c r="F58" t="str">
        <v>MVP-P0</v>
      </c>
      <c r="G58" t="str">
        <v>CONFIRMED</v>
      </c>
      <c r="H58" t="str">
        <v>Game Engineer</v>
      </c>
      <c r="I58" t="str">
        <v>Engineering</v>
      </c>
      <c r="J58">
        <v>5</v>
      </c>
      <c r="K58">
        <v>30</v>
      </c>
      <c r="L58">
        <v>4.5</v>
      </c>
      <c r="M58">
        <v>34.5</v>
      </c>
      <c r="N58" t="str">
        <v>Not Started</v>
      </c>
    </row>
    <row r="59">
      <c r="A59" t="str">
        <v>075</v>
      </c>
      <c r="B59" t="str">
        <v>E03</v>
      </c>
      <c r="C59" t="str">
        <v>Game Engine</v>
      </c>
      <c r="D59" t="str">
        <v>F03.6.T2</v>
      </c>
      <c r="E59" t="str">
        <v>Implementation</v>
      </c>
      <c r="F59" t="str">
        <v>MVP-P0</v>
      </c>
      <c r="G59" t="str">
        <v>CONFIRMED</v>
      </c>
      <c r="H59" t="str">
        <v>Game Engineer</v>
      </c>
      <c r="I59" t="str">
        <v>Engineering</v>
      </c>
      <c r="J59">
        <v>7</v>
      </c>
      <c r="K59">
        <v>42</v>
      </c>
      <c r="L59">
        <v>6.3</v>
      </c>
      <c r="M59">
        <v>48.3</v>
      </c>
      <c r="N59" t="str">
        <v>Not Started</v>
      </c>
    </row>
    <row r="60">
      <c r="A60" t="str">
        <v>076</v>
      </c>
      <c r="B60" t="str">
        <v>E03</v>
      </c>
      <c r="C60" t="str">
        <v>Game Engine</v>
      </c>
      <c r="D60" t="str">
        <v>F03.6.T3</v>
      </c>
      <c r="E60" t="str">
        <v>Validation &amp; QA</v>
      </c>
      <c r="F60" t="str">
        <v>MVP-P0</v>
      </c>
      <c r="G60" t="str">
        <v>CONFIRMED</v>
      </c>
      <c r="H60" t="str">
        <v>QA Engineer</v>
      </c>
      <c r="I60" t="str">
        <v>Engineering</v>
      </c>
      <c r="J60">
        <v>5</v>
      </c>
      <c r="K60">
        <v>30</v>
      </c>
      <c r="L60">
        <v>4.5</v>
      </c>
      <c r="M60">
        <v>34.5</v>
      </c>
      <c r="N60" t="str">
        <v>Not Started</v>
      </c>
    </row>
    <row r="61">
      <c r="A61" t="str">
        <v>078</v>
      </c>
      <c r="B61" t="str">
        <v>E03</v>
      </c>
      <c r="C61" t="str">
        <v>Game Engine</v>
      </c>
      <c r="D61" t="str">
        <v>F03.7.T1</v>
      </c>
      <c r="E61" t="str">
        <v>Analysis &amp; Design</v>
      </c>
      <c r="F61" t="str">
        <v>MVP-P0</v>
      </c>
      <c r="G61" t="str">
        <v>CONFIRMED</v>
      </c>
      <c r="H61" t="str">
        <v>Game Engineer</v>
      </c>
      <c r="I61" t="str">
        <v>Engineering</v>
      </c>
      <c r="J61">
        <v>3</v>
      </c>
      <c r="K61">
        <v>18</v>
      </c>
      <c r="L61">
        <v>2.6999999999999997</v>
      </c>
      <c r="M61">
        <v>20.7</v>
      </c>
      <c r="N61" t="str">
        <v>Not Started</v>
      </c>
    </row>
    <row r="62">
      <c r="A62" t="str">
        <v>079</v>
      </c>
      <c r="B62" t="str">
        <v>E03</v>
      </c>
      <c r="C62" t="str">
        <v>Game Engine</v>
      </c>
      <c r="D62" t="str">
        <v>F03.7.T2</v>
      </c>
      <c r="E62" t="str">
        <v>Implementation</v>
      </c>
      <c r="F62" t="str">
        <v>MVP-P0</v>
      </c>
      <c r="G62" t="str">
        <v>CONFIRMED</v>
      </c>
      <c r="H62" t="str">
        <v>Game Engineer</v>
      </c>
      <c r="I62" t="str">
        <v>Engineering</v>
      </c>
      <c r="J62">
        <v>4</v>
      </c>
      <c r="K62">
        <v>24</v>
      </c>
      <c r="L62">
        <v>3.5999999999999996</v>
      </c>
      <c r="M62">
        <v>27.6</v>
      </c>
      <c r="N62" t="str">
        <v>Not Started</v>
      </c>
    </row>
    <row r="63">
      <c r="A63" t="str">
        <v>080</v>
      </c>
      <c r="B63" t="str">
        <v>E03</v>
      </c>
      <c r="C63" t="str">
        <v>Game Engine</v>
      </c>
      <c r="D63" t="str">
        <v>F03.7.T3</v>
      </c>
      <c r="E63" t="str">
        <v>Validation &amp; QA</v>
      </c>
      <c r="F63" t="str">
        <v>MVP-P0</v>
      </c>
      <c r="G63" t="str">
        <v>CONFIRMED</v>
      </c>
      <c r="H63" t="str">
        <v>QA Engineer</v>
      </c>
      <c r="I63" t="str">
        <v>Engineering</v>
      </c>
      <c r="J63">
        <v>3</v>
      </c>
      <c r="K63">
        <v>18</v>
      </c>
      <c r="L63">
        <v>2.6999999999999997</v>
      </c>
      <c r="M63">
        <v>20.7</v>
      </c>
      <c r="N63" t="str">
        <v>Not Started</v>
      </c>
    </row>
    <row r="64">
      <c r="A64" t="str">
        <v>082</v>
      </c>
      <c r="B64" t="str">
        <v>E03</v>
      </c>
      <c r="C64" t="str">
        <v>Game Engine</v>
      </c>
      <c r="D64" t="str">
        <v>F03.8.T1</v>
      </c>
      <c r="E64" t="str">
        <v>Analysis &amp; Design</v>
      </c>
      <c r="F64" t="str">
        <v>MVP-P0</v>
      </c>
      <c r="G64" t="str">
        <v>CONFIRMED</v>
      </c>
      <c r="H64" t="str">
        <v>Game Engineer</v>
      </c>
      <c r="I64" t="str">
        <v>Engineering</v>
      </c>
      <c r="J64">
        <v>3</v>
      </c>
      <c r="K64">
        <v>18</v>
      </c>
      <c r="L64">
        <v>2.6999999999999997</v>
      </c>
      <c r="M64">
        <v>20.7</v>
      </c>
      <c r="N64" t="str">
        <v>Not Started</v>
      </c>
    </row>
    <row r="65">
      <c r="A65" t="str">
        <v>083</v>
      </c>
      <c r="B65" t="str">
        <v>E03</v>
      </c>
      <c r="C65" t="str">
        <v>Game Engine</v>
      </c>
      <c r="D65" t="str">
        <v>F03.8.T2</v>
      </c>
      <c r="E65" t="str">
        <v>Implementation</v>
      </c>
      <c r="F65" t="str">
        <v>MVP-P0</v>
      </c>
      <c r="G65" t="str">
        <v>CONFIRMED</v>
      </c>
      <c r="H65" t="str">
        <v>Game Engineer</v>
      </c>
      <c r="I65" t="str">
        <v>Engineering</v>
      </c>
      <c r="J65">
        <v>4</v>
      </c>
      <c r="K65">
        <v>24</v>
      </c>
      <c r="L65">
        <v>3.5999999999999996</v>
      </c>
      <c r="M65">
        <v>27.6</v>
      </c>
      <c r="N65" t="str">
        <v>Not Started</v>
      </c>
    </row>
    <row r="66">
      <c r="A66" t="str">
        <v>084</v>
      </c>
      <c r="B66" t="str">
        <v>E03</v>
      </c>
      <c r="C66" t="str">
        <v>Game Engine</v>
      </c>
      <c r="D66" t="str">
        <v>F03.8.T3</v>
      </c>
      <c r="E66" t="str">
        <v>Validation &amp; QA</v>
      </c>
      <c r="F66" t="str">
        <v>MVP-P0</v>
      </c>
      <c r="G66" t="str">
        <v>CONFIRMED</v>
      </c>
      <c r="H66" t="str">
        <v>QA Engineer</v>
      </c>
      <c r="I66" t="str">
        <v>Engineering</v>
      </c>
      <c r="J66">
        <v>3</v>
      </c>
      <c r="K66">
        <v>18</v>
      </c>
      <c r="L66">
        <v>2.6999999999999997</v>
      </c>
      <c r="M66">
        <v>20.7</v>
      </c>
      <c r="N66" t="str">
        <v>Not Started</v>
      </c>
    </row>
    <row r="67">
      <c r="A67" t="str">
        <v>086</v>
      </c>
      <c r="B67" t="str">
        <v>E03</v>
      </c>
      <c r="C67" t="str">
        <v>Game Engine</v>
      </c>
      <c r="D67" t="str">
        <v>F03.9.T1</v>
      </c>
      <c r="E67" t="str">
        <v>Analysis &amp; Design</v>
      </c>
      <c r="F67" t="str">
        <v>MVP-P0</v>
      </c>
      <c r="G67" t="str">
        <v>CONFIRMED</v>
      </c>
      <c r="H67" t="str">
        <v>Game Engineer</v>
      </c>
      <c r="I67" t="str">
        <v>Engineering</v>
      </c>
      <c r="J67">
        <v>3</v>
      </c>
      <c r="K67">
        <v>18</v>
      </c>
      <c r="L67">
        <v>2.6999999999999997</v>
      </c>
      <c r="M67">
        <v>20.7</v>
      </c>
      <c r="N67" t="str">
        <v>Not Started</v>
      </c>
    </row>
    <row r="68">
      <c r="A68" t="str">
        <v>087</v>
      </c>
      <c r="B68" t="str">
        <v>E03</v>
      </c>
      <c r="C68" t="str">
        <v>Game Engine</v>
      </c>
      <c r="D68" t="str">
        <v>F03.9.T2</v>
      </c>
      <c r="E68" t="str">
        <v>Implementation</v>
      </c>
      <c r="F68" t="str">
        <v>MVP-P0</v>
      </c>
      <c r="G68" t="str">
        <v>CONFIRMED</v>
      </c>
      <c r="H68" t="str">
        <v>Game Engineer</v>
      </c>
      <c r="I68" t="str">
        <v>Engineering</v>
      </c>
      <c r="J68">
        <v>4</v>
      </c>
      <c r="K68">
        <v>24</v>
      </c>
      <c r="L68">
        <v>3.5999999999999996</v>
      </c>
      <c r="M68">
        <v>27.6</v>
      </c>
      <c r="N68" t="str">
        <v>Not Started</v>
      </c>
    </row>
    <row r="69">
      <c r="A69" t="str">
        <v>088</v>
      </c>
      <c r="B69" t="str">
        <v>E03</v>
      </c>
      <c r="C69" t="str">
        <v>Game Engine</v>
      </c>
      <c r="D69" t="str">
        <v>F03.9.T3</v>
      </c>
      <c r="E69" t="str">
        <v>Validation &amp; QA</v>
      </c>
      <c r="F69" t="str">
        <v>MVP-P0</v>
      </c>
      <c r="G69" t="str">
        <v>CONFIRMED</v>
      </c>
      <c r="H69" t="str">
        <v>QA Engineer</v>
      </c>
      <c r="I69" t="str">
        <v>Engineering</v>
      </c>
      <c r="J69">
        <v>3</v>
      </c>
      <c r="K69">
        <v>18</v>
      </c>
      <c r="L69">
        <v>2.6999999999999997</v>
      </c>
      <c r="M69">
        <v>20.7</v>
      </c>
      <c r="N69" t="str">
        <v>Not Started</v>
      </c>
    </row>
    <row r="70">
      <c r="A70" t="str">
        <v>090</v>
      </c>
      <c r="B70" t="str">
        <v>E03</v>
      </c>
      <c r="C70" t="str">
        <v>Game Engine</v>
      </c>
      <c r="D70" t="str">
        <v>F03.10.T1</v>
      </c>
      <c r="E70" t="str">
        <v>Analysis &amp; Design</v>
      </c>
      <c r="F70" t="str">
        <v>MVP-P0</v>
      </c>
      <c r="G70" t="str">
        <v>CONFIRMED</v>
      </c>
      <c r="H70" t="str">
        <v>Game Engineer</v>
      </c>
      <c r="I70" t="str">
        <v>Engineering</v>
      </c>
      <c r="J70">
        <v>3</v>
      </c>
      <c r="K70">
        <v>18</v>
      </c>
      <c r="L70">
        <v>2.6999999999999997</v>
      </c>
      <c r="M70">
        <v>20.7</v>
      </c>
      <c r="N70" t="str">
        <v>Not Started</v>
      </c>
    </row>
    <row r="71">
      <c r="A71" t="str">
        <v>091</v>
      </c>
      <c r="B71" t="str">
        <v>E03</v>
      </c>
      <c r="C71" t="str">
        <v>Game Engine</v>
      </c>
      <c r="D71" t="str">
        <v>F03.10.T2</v>
      </c>
      <c r="E71" t="str">
        <v>Implementation</v>
      </c>
      <c r="F71" t="str">
        <v>MVP-P0</v>
      </c>
      <c r="G71" t="str">
        <v>CONFIRMED</v>
      </c>
      <c r="H71" t="str">
        <v>Game Engineer</v>
      </c>
      <c r="I71" t="str">
        <v>Engineering</v>
      </c>
      <c r="J71">
        <v>4</v>
      </c>
      <c r="K71">
        <v>24</v>
      </c>
      <c r="L71">
        <v>3.5999999999999996</v>
      </c>
      <c r="M71">
        <v>27.6</v>
      </c>
      <c r="N71" t="str">
        <v>Not Started</v>
      </c>
    </row>
    <row r="72">
      <c r="A72" t="str">
        <v>092</v>
      </c>
      <c r="B72" t="str">
        <v>E03</v>
      </c>
      <c r="C72" t="str">
        <v>Game Engine</v>
      </c>
      <c r="D72" t="str">
        <v>F03.10.T3</v>
      </c>
      <c r="E72" t="str">
        <v>Validation &amp; QA</v>
      </c>
      <c r="F72" t="str">
        <v>MVP-P0</v>
      </c>
      <c r="G72" t="str">
        <v>CONFIRMED</v>
      </c>
      <c r="H72" t="str">
        <v>QA Engineer</v>
      </c>
      <c r="I72" t="str">
        <v>Engineering</v>
      </c>
      <c r="J72">
        <v>3</v>
      </c>
      <c r="K72">
        <v>18</v>
      </c>
      <c r="L72">
        <v>2.6999999999999997</v>
      </c>
      <c r="M72">
        <v>20.7</v>
      </c>
      <c r="N72" t="str">
        <v>Not Started</v>
      </c>
    </row>
    <row r="73">
      <c r="A73" t="str">
        <v>094</v>
      </c>
      <c r="B73" t="str">
        <v>E03</v>
      </c>
      <c r="C73" t="str">
        <v>Game Engine</v>
      </c>
      <c r="D73" t="str">
        <v>F03.11.T1</v>
      </c>
      <c r="E73" t="str">
        <v>Analysis &amp; Design</v>
      </c>
      <c r="F73" t="str">
        <v>MVP-P0</v>
      </c>
      <c r="G73" t="str">
        <v>PROPOSED</v>
      </c>
      <c r="H73" t="str">
        <v>Game Engineer</v>
      </c>
      <c r="I73" t="str">
        <v>Engineering</v>
      </c>
      <c r="J73">
        <v>3</v>
      </c>
      <c r="K73">
        <v>18</v>
      </c>
      <c r="L73">
        <v>2.6999999999999997</v>
      </c>
      <c r="M73">
        <v>20.7</v>
      </c>
      <c r="N73" t="str">
        <v>Not Started</v>
      </c>
    </row>
    <row r="74">
      <c r="A74" t="str">
        <v>095</v>
      </c>
      <c r="B74" t="str">
        <v>E03</v>
      </c>
      <c r="C74" t="str">
        <v>Game Engine</v>
      </c>
      <c r="D74" t="str">
        <v>F03.11.T2</v>
      </c>
      <c r="E74" t="str">
        <v>Implementation</v>
      </c>
      <c r="F74" t="str">
        <v>MVP-P0</v>
      </c>
      <c r="G74" t="str">
        <v>PROPOSED</v>
      </c>
      <c r="H74" t="str">
        <v>Game Engineer</v>
      </c>
      <c r="I74" t="str">
        <v>Engineering</v>
      </c>
      <c r="J74">
        <v>4</v>
      </c>
      <c r="K74">
        <v>24</v>
      </c>
      <c r="L74">
        <v>3.5999999999999996</v>
      </c>
      <c r="M74">
        <v>27.6</v>
      </c>
      <c r="N74" t="str">
        <v>Not Started</v>
      </c>
    </row>
    <row r="75">
      <c r="A75" t="str">
        <v>096</v>
      </c>
      <c r="B75" t="str">
        <v>E03</v>
      </c>
      <c r="C75" t="str">
        <v>Game Engine</v>
      </c>
      <c r="D75" t="str">
        <v>F03.11.T3</v>
      </c>
      <c r="E75" t="str">
        <v>Validation &amp; QA</v>
      </c>
      <c r="F75" t="str">
        <v>MVP-P0</v>
      </c>
      <c r="G75" t="str">
        <v>PROPOSED</v>
      </c>
      <c r="H75" t="str">
        <v>QA Engineer</v>
      </c>
      <c r="I75" t="str">
        <v>Engineering</v>
      </c>
      <c r="J75">
        <v>3</v>
      </c>
      <c r="K75">
        <v>18</v>
      </c>
      <c r="L75">
        <v>2.6999999999999997</v>
      </c>
      <c r="M75">
        <v>20.7</v>
      </c>
      <c r="N75" t="str">
        <v>Not Started</v>
      </c>
    </row>
    <row r="76">
      <c r="A76" t="str">
        <v>098</v>
      </c>
      <c r="B76" t="str">
        <v>E03</v>
      </c>
      <c r="C76" t="str">
        <v>Game Engine</v>
      </c>
      <c r="D76" t="str">
        <v>F03.12.T1</v>
      </c>
      <c r="E76" t="str">
        <v>Analysis &amp; Design</v>
      </c>
      <c r="F76" t="str">
        <v>MVP-P0</v>
      </c>
      <c r="G76" t="str">
        <v>PROPOSED</v>
      </c>
      <c r="H76" t="str">
        <v>Game Engineer</v>
      </c>
      <c r="I76" t="str">
        <v>Engineering</v>
      </c>
      <c r="J76">
        <v>3</v>
      </c>
      <c r="K76">
        <v>18</v>
      </c>
      <c r="L76">
        <v>2.6999999999999997</v>
      </c>
      <c r="M76">
        <v>20.7</v>
      </c>
      <c r="N76" t="str">
        <v>Not Started</v>
      </c>
    </row>
    <row r="77">
      <c r="A77" t="str">
        <v>099</v>
      </c>
      <c r="B77" t="str">
        <v>E03</v>
      </c>
      <c r="C77" t="str">
        <v>Game Engine</v>
      </c>
      <c r="D77" t="str">
        <v>F03.12.T2</v>
      </c>
      <c r="E77" t="str">
        <v>Implementation</v>
      </c>
      <c r="F77" t="str">
        <v>MVP-P0</v>
      </c>
      <c r="G77" t="str">
        <v>PROPOSED</v>
      </c>
      <c r="H77" t="str">
        <v>Game Engineer</v>
      </c>
      <c r="I77" t="str">
        <v>Engineering</v>
      </c>
      <c r="J77">
        <v>4</v>
      </c>
      <c r="K77">
        <v>24</v>
      </c>
      <c r="L77">
        <v>3.5999999999999996</v>
      </c>
      <c r="M77">
        <v>27.6</v>
      </c>
      <c r="N77" t="str">
        <v>Not Started</v>
      </c>
    </row>
    <row r="78">
      <c r="A78" t="str">
        <v>100</v>
      </c>
      <c r="B78" t="str">
        <v>E03</v>
      </c>
      <c r="C78" t="str">
        <v>Game Engine</v>
      </c>
      <c r="D78" t="str">
        <v>F03.12.T3</v>
      </c>
      <c r="E78" t="str">
        <v>Validation &amp; QA</v>
      </c>
      <c r="F78" t="str">
        <v>MVP-P0</v>
      </c>
      <c r="G78" t="str">
        <v>PROPOSED</v>
      </c>
      <c r="H78" t="str">
        <v>QA Engineer</v>
      </c>
      <c r="I78" t="str">
        <v>Engineering</v>
      </c>
      <c r="J78">
        <v>3</v>
      </c>
      <c r="K78">
        <v>18</v>
      </c>
      <c r="L78">
        <v>2.6999999999999997</v>
      </c>
      <c r="M78">
        <v>20.7</v>
      </c>
      <c r="N78" t="str">
        <v>Not Started</v>
      </c>
    </row>
    <row r="79">
      <c r="A79" t="str">
        <v>102</v>
      </c>
      <c r="B79" t="str">
        <v>E04</v>
      </c>
      <c r="C79" t="str">
        <v>Solver</v>
      </c>
      <c r="D79" t="str">
        <v>F04.1.T1</v>
      </c>
      <c r="E79" t="str">
        <v>Analysis &amp; Design</v>
      </c>
      <c r="F79" t="str">
        <v>MVP-P0</v>
      </c>
      <c r="G79" t="str">
        <v>CONFIRMED</v>
      </c>
      <c r="H79" t="str">
        <v>Solver Engineer</v>
      </c>
      <c r="I79" t="str">
        <v>Engineering</v>
      </c>
      <c r="J79">
        <v>3</v>
      </c>
      <c r="K79">
        <v>18</v>
      </c>
      <c r="L79">
        <v>2.6999999999999997</v>
      </c>
      <c r="M79">
        <v>20.7</v>
      </c>
      <c r="N79" t="str">
        <v>Not Started</v>
      </c>
    </row>
    <row r="80">
      <c r="A80" t="str">
        <v>103</v>
      </c>
      <c r="B80" t="str">
        <v>E04</v>
      </c>
      <c r="C80" t="str">
        <v>Solver</v>
      </c>
      <c r="D80" t="str">
        <v>F04.1.T2</v>
      </c>
      <c r="E80" t="str">
        <v>Implementation</v>
      </c>
      <c r="F80" t="str">
        <v>MVP-P0</v>
      </c>
      <c r="G80" t="str">
        <v>CONFIRMED</v>
      </c>
      <c r="H80" t="str">
        <v>Solver Engineer</v>
      </c>
      <c r="I80" t="str">
        <v>Engineering</v>
      </c>
      <c r="J80">
        <v>4</v>
      </c>
      <c r="K80">
        <v>24</v>
      </c>
      <c r="L80">
        <v>3.5999999999999996</v>
      </c>
      <c r="M80">
        <v>27.6</v>
      </c>
      <c r="N80" t="str">
        <v>Not Started</v>
      </c>
    </row>
    <row r="81">
      <c r="A81" t="str">
        <v>104</v>
      </c>
      <c r="B81" t="str">
        <v>E04</v>
      </c>
      <c r="C81" t="str">
        <v>Solver</v>
      </c>
      <c r="D81" t="str">
        <v>F04.1.T3</v>
      </c>
      <c r="E81" t="str">
        <v>Validation &amp; QA</v>
      </c>
      <c r="F81" t="str">
        <v>MVP-P0</v>
      </c>
      <c r="G81" t="str">
        <v>CONFIRMED</v>
      </c>
      <c r="H81" t="str">
        <v>QA Engineer</v>
      </c>
      <c r="I81" t="str">
        <v>Engineering</v>
      </c>
      <c r="J81">
        <v>3</v>
      </c>
      <c r="K81">
        <v>18</v>
      </c>
      <c r="L81">
        <v>2.6999999999999997</v>
      </c>
      <c r="M81">
        <v>20.7</v>
      </c>
      <c r="N81" t="str">
        <v>Not Started</v>
      </c>
    </row>
    <row r="82">
      <c r="A82" t="str">
        <v>106</v>
      </c>
      <c r="B82" t="str">
        <v>E04</v>
      </c>
      <c r="C82" t="str">
        <v>Solver</v>
      </c>
      <c r="D82" t="str">
        <v>F04.2.T1</v>
      </c>
      <c r="E82" t="str">
        <v>Analysis &amp; Design</v>
      </c>
      <c r="F82" t="str">
        <v>MVP-P0</v>
      </c>
      <c r="G82" t="str">
        <v>CONFIRMED</v>
      </c>
      <c r="H82" t="str">
        <v>Solver Engineer</v>
      </c>
      <c r="I82" t="str">
        <v>Engineering</v>
      </c>
      <c r="J82">
        <v>5</v>
      </c>
      <c r="K82">
        <v>30</v>
      </c>
      <c r="L82">
        <v>4.5</v>
      </c>
      <c r="M82">
        <v>34.5</v>
      </c>
      <c r="N82" t="str">
        <v>Not Started</v>
      </c>
    </row>
    <row r="83">
      <c r="A83" t="str">
        <v>107</v>
      </c>
      <c r="B83" t="str">
        <v>E04</v>
      </c>
      <c r="C83" t="str">
        <v>Solver</v>
      </c>
      <c r="D83" t="str">
        <v>F04.2.T2</v>
      </c>
      <c r="E83" t="str">
        <v>Implementation</v>
      </c>
      <c r="F83" t="str">
        <v>MVP-P0</v>
      </c>
      <c r="G83" t="str">
        <v>CONFIRMED</v>
      </c>
      <c r="H83" t="str">
        <v>Solver Engineer</v>
      </c>
      <c r="I83" t="str">
        <v>Engineering</v>
      </c>
      <c r="J83">
        <v>7</v>
      </c>
      <c r="K83">
        <v>42</v>
      </c>
      <c r="L83">
        <v>6.3</v>
      </c>
      <c r="M83">
        <v>48.3</v>
      </c>
      <c r="N83" t="str">
        <v>Not Started</v>
      </c>
    </row>
    <row r="84">
      <c r="A84" t="str">
        <v>108</v>
      </c>
      <c r="B84" t="str">
        <v>E04</v>
      </c>
      <c r="C84" t="str">
        <v>Solver</v>
      </c>
      <c r="D84" t="str">
        <v>F04.2.T3</v>
      </c>
      <c r="E84" t="str">
        <v>Validation &amp; QA</v>
      </c>
      <c r="F84" t="str">
        <v>MVP-P0</v>
      </c>
      <c r="G84" t="str">
        <v>CONFIRMED</v>
      </c>
      <c r="H84" t="str">
        <v>QA Engineer</v>
      </c>
      <c r="I84" t="str">
        <v>Engineering</v>
      </c>
      <c r="J84">
        <v>5</v>
      </c>
      <c r="K84">
        <v>30</v>
      </c>
      <c r="L84">
        <v>4.5</v>
      </c>
      <c r="M84">
        <v>34.5</v>
      </c>
      <c r="N84" t="str">
        <v>Not Started</v>
      </c>
    </row>
    <row r="85">
      <c r="A85" t="str">
        <v>110</v>
      </c>
      <c r="B85" t="str">
        <v>E04</v>
      </c>
      <c r="C85" t="str">
        <v>Solver</v>
      </c>
      <c r="D85" t="str">
        <v>F04.3.T1</v>
      </c>
      <c r="E85" t="str">
        <v>Analysis &amp; Design</v>
      </c>
      <c r="F85" t="str">
        <v>MVP-P0</v>
      </c>
      <c r="G85" t="str">
        <v>PROPOSED</v>
      </c>
      <c r="H85" t="str">
        <v>Solver Engineer</v>
      </c>
      <c r="I85" t="str">
        <v>Engineering</v>
      </c>
      <c r="J85">
        <v>5</v>
      </c>
      <c r="K85">
        <v>30</v>
      </c>
      <c r="L85">
        <v>4.5</v>
      </c>
      <c r="M85">
        <v>34.5</v>
      </c>
      <c r="N85" t="str">
        <v>Not Started</v>
      </c>
    </row>
    <row r="86">
      <c r="A86" t="str">
        <v>111</v>
      </c>
      <c r="B86" t="str">
        <v>E04</v>
      </c>
      <c r="C86" t="str">
        <v>Solver</v>
      </c>
      <c r="D86" t="str">
        <v>F04.3.T2</v>
      </c>
      <c r="E86" t="str">
        <v>Implementation</v>
      </c>
      <c r="F86" t="str">
        <v>MVP-P0</v>
      </c>
      <c r="G86" t="str">
        <v>PROPOSED</v>
      </c>
      <c r="H86" t="str">
        <v>Solver Engineer</v>
      </c>
      <c r="I86" t="str">
        <v>Engineering</v>
      </c>
      <c r="J86">
        <v>7</v>
      </c>
      <c r="K86">
        <v>42</v>
      </c>
      <c r="L86">
        <v>6.3</v>
      </c>
      <c r="M86">
        <v>48.3</v>
      </c>
      <c r="N86" t="str">
        <v>Not Started</v>
      </c>
    </row>
    <row r="87">
      <c r="A87" t="str">
        <v>112</v>
      </c>
      <c r="B87" t="str">
        <v>E04</v>
      </c>
      <c r="C87" t="str">
        <v>Solver</v>
      </c>
      <c r="D87" t="str">
        <v>F04.3.T3</v>
      </c>
      <c r="E87" t="str">
        <v>Validation &amp; QA</v>
      </c>
      <c r="F87" t="str">
        <v>MVP-P0</v>
      </c>
      <c r="G87" t="str">
        <v>PROPOSED</v>
      </c>
      <c r="H87" t="str">
        <v>QA Engineer</v>
      </c>
      <c r="I87" t="str">
        <v>Engineering</v>
      </c>
      <c r="J87">
        <v>5</v>
      </c>
      <c r="K87">
        <v>30</v>
      </c>
      <c r="L87">
        <v>4.5</v>
      </c>
      <c r="M87">
        <v>34.5</v>
      </c>
      <c r="N87" t="str">
        <v>Not Started</v>
      </c>
    </row>
    <row r="88">
      <c r="A88" t="str">
        <v>114</v>
      </c>
      <c r="B88" t="str">
        <v>E04</v>
      </c>
      <c r="C88" t="str">
        <v>Solver</v>
      </c>
      <c r="D88" t="str">
        <v>F04.4.T1</v>
      </c>
      <c r="E88" t="str">
        <v>Analysis &amp; Design</v>
      </c>
      <c r="F88" t="str">
        <v>MVP-P0</v>
      </c>
      <c r="G88" t="str">
        <v>PROPOSED</v>
      </c>
      <c r="H88" t="str">
        <v>Solver Engineer</v>
      </c>
      <c r="I88" t="str">
        <v>Engineering</v>
      </c>
      <c r="J88">
        <v>5</v>
      </c>
      <c r="K88">
        <v>30</v>
      </c>
      <c r="L88">
        <v>4.5</v>
      </c>
      <c r="M88">
        <v>34.5</v>
      </c>
      <c r="N88" t="str">
        <v>Not Started</v>
      </c>
    </row>
    <row r="89">
      <c r="A89" t="str">
        <v>115</v>
      </c>
      <c r="B89" t="str">
        <v>E04</v>
      </c>
      <c r="C89" t="str">
        <v>Solver</v>
      </c>
      <c r="D89" t="str">
        <v>F04.4.T2</v>
      </c>
      <c r="E89" t="str">
        <v>Implementation</v>
      </c>
      <c r="F89" t="str">
        <v>MVP-P0</v>
      </c>
      <c r="G89" t="str">
        <v>PROPOSED</v>
      </c>
      <c r="H89" t="str">
        <v>Solver Engineer</v>
      </c>
      <c r="I89" t="str">
        <v>Engineering</v>
      </c>
      <c r="J89">
        <v>7</v>
      </c>
      <c r="K89">
        <v>42</v>
      </c>
      <c r="L89">
        <v>6.3</v>
      </c>
      <c r="M89">
        <v>48.3</v>
      </c>
      <c r="N89" t="str">
        <v>Not Started</v>
      </c>
    </row>
    <row r="90">
      <c r="A90" t="str">
        <v>116</v>
      </c>
      <c r="B90" t="str">
        <v>E04</v>
      </c>
      <c r="C90" t="str">
        <v>Solver</v>
      </c>
      <c r="D90" t="str">
        <v>F04.4.T3</v>
      </c>
      <c r="E90" t="str">
        <v>Validation &amp; QA</v>
      </c>
      <c r="F90" t="str">
        <v>MVP-P0</v>
      </c>
      <c r="G90" t="str">
        <v>PROPOSED</v>
      </c>
      <c r="H90" t="str">
        <v>QA Engineer</v>
      </c>
      <c r="I90" t="str">
        <v>Engineering</v>
      </c>
      <c r="J90">
        <v>5</v>
      </c>
      <c r="K90">
        <v>30</v>
      </c>
      <c r="L90">
        <v>4.5</v>
      </c>
      <c r="M90">
        <v>34.5</v>
      </c>
      <c r="N90" t="str">
        <v>Not Started</v>
      </c>
    </row>
    <row r="91">
      <c r="A91" t="str">
        <v>118</v>
      </c>
      <c r="B91" t="str">
        <v>E04</v>
      </c>
      <c r="C91" t="str">
        <v>Solver</v>
      </c>
      <c r="D91" t="str">
        <v>F04.5.T1</v>
      </c>
      <c r="E91" t="str">
        <v>Analysis &amp; Design</v>
      </c>
      <c r="F91" t="str">
        <v>MVP-P0</v>
      </c>
      <c r="G91" t="str">
        <v>CONFIRMED</v>
      </c>
      <c r="H91" t="str">
        <v>Solver Engineer</v>
      </c>
      <c r="I91" t="str">
        <v>Engineering</v>
      </c>
      <c r="J91">
        <v>5</v>
      </c>
      <c r="K91">
        <v>30</v>
      </c>
      <c r="L91">
        <v>4.5</v>
      </c>
      <c r="M91">
        <v>34.5</v>
      </c>
      <c r="N91" t="str">
        <v>Not Started</v>
      </c>
    </row>
    <row r="92">
      <c r="A92" t="str">
        <v>119</v>
      </c>
      <c r="B92" t="str">
        <v>E04</v>
      </c>
      <c r="C92" t="str">
        <v>Solver</v>
      </c>
      <c r="D92" t="str">
        <v>F04.5.T2</v>
      </c>
      <c r="E92" t="str">
        <v>Implementation</v>
      </c>
      <c r="F92" t="str">
        <v>MVP-P0</v>
      </c>
      <c r="G92" t="str">
        <v>CONFIRMED</v>
      </c>
      <c r="H92" t="str">
        <v>Solver Engineer</v>
      </c>
      <c r="I92" t="str">
        <v>Engineering</v>
      </c>
      <c r="J92">
        <v>7</v>
      </c>
      <c r="K92">
        <v>42</v>
      </c>
      <c r="L92">
        <v>6.3</v>
      </c>
      <c r="M92">
        <v>48.3</v>
      </c>
      <c r="N92" t="str">
        <v>Not Started</v>
      </c>
    </row>
    <row r="93">
      <c r="A93" t="str">
        <v>120</v>
      </c>
      <c r="B93" t="str">
        <v>E04</v>
      </c>
      <c r="C93" t="str">
        <v>Solver</v>
      </c>
      <c r="D93" t="str">
        <v>F04.5.T3</v>
      </c>
      <c r="E93" t="str">
        <v>Validation &amp; QA</v>
      </c>
      <c r="F93" t="str">
        <v>MVP-P0</v>
      </c>
      <c r="G93" t="str">
        <v>CONFIRMED</v>
      </c>
      <c r="H93" t="str">
        <v>QA Engineer</v>
      </c>
      <c r="I93" t="str">
        <v>Engineering</v>
      </c>
      <c r="J93">
        <v>5</v>
      </c>
      <c r="K93">
        <v>30</v>
      </c>
      <c r="L93">
        <v>4.5</v>
      </c>
      <c r="M93">
        <v>34.5</v>
      </c>
      <c r="N93" t="str">
        <v>Not Started</v>
      </c>
    </row>
    <row r="94">
      <c r="A94" t="str">
        <v>122</v>
      </c>
      <c r="B94" t="str">
        <v>E04</v>
      </c>
      <c r="C94" t="str">
        <v>Solver</v>
      </c>
      <c r="D94" t="str">
        <v>F04.6.T1</v>
      </c>
      <c r="E94" t="str">
        <v>Analysis &amp; Design</v>
      </c>
      <c r="F94" t="str">
        <v>MVP-P0</v>
      </c>
      <c r="G94" t="str">
        <v>CONFIRMED/TBD</v>
      </c>
      <c r="H94" t="str">
        <v>Solver Engineer</v>
      </c>
      <c r="I94" t="str">
        <v>Engineering</v>
      </c>
      <c r="J94">
        <v>5</v>
      </c>
      <c r="K94">
        <v>30</v>
      </c>
      <c r="L94">
        <v>4.5</v>
      </c>
      <c r="M94">
        <v>34.5</v>
      </c>
      <c r="N94" t="str">
        <v>Not Started</v>
      </c>
    </row>
    <row r="95">
      <c r="A95" t="str">
        <v>123</v>
      </c>
      <c r="B95" t="str">
        <v>E04</v>
      </c>
      <c r="C95" t="str">
        <v>Solver</v>
      </c>
      <c r="D95" t="str">
        <v>F04.6.T2</v>
      </c>
      <c r="E95" t="str">
        <v>Implementation</v>
      </c>
      <c r="F95" t="str">
        <v>MVP-P0</v>
      </c>
      <c r="G95" t="str">
        <v>CONFIRMED/TBD</v>
      </c>
      <c r="H95" t="str">
        <v>Solver Engineer</v>
      </c>
      <c r="I95" t="str">
        <v>Engineering</v>
      </c>
      <c r="J95">
        <v>7</v>
      </c>
      <c r="K95">
        <v>42</v>
      </c>
      <c r="L95">
        <v>6.3</v>
      </c>
      <c r="M95">
        <v>48.3</v>
      </c>
      <c r="N95" t="str">
        <v>Not Started</v>
      </c>
    </row>
    <row r="96">
      <c r="A96" t="str">
        <v>124</v>
      </c>
      <c r="B96" t="str">
        <v>E04</v>
      </c>
      <c r="C96" t="str">
        <v>Solver</v>
      </c>
      <c r="D96" t="str">
        <v>F04.6.T3</v>
      </c>
      <c r="E96" t="str">
        <v>Validation &amp; QA</v>
      </c>
      <c r="F96" t="str">
        <v>MVP-P0</v>
      </c>
      <c r="G96" t="str">
        <v>CONFIRMED/TBD</v>
      </c>
      <c r="H96" t="str">
        <v>QA Engineer</v>
      </c>
      <c r="I96" t="str">
        <v>Engineering</v>
      </c>
      <c r="J96">
        <v>5</v>
      </c>
      <c r="K96">
        <v>30</v>
      </c>
      <c r="L96">
        <v>4.5</v>
      </c>
      <c r="M96">
        <v>34.5</v>
      </c>
      <c r="N96" t="str">
        <v>Not Started</v>
      </c>
    </row>
    <row r="97">
      <c r="A97" t="str">
        <v>126</v>
      </c>
      <c r="B97" t="str">
        <v>E04</v>
      </c>
      <c r="C97" t="str">
        <v>Solver</v>
      </c>
      <c r="D97" t="str">
        <v>F04.7.T1</v>
      </c>
      <c r="E97" t="str">
        <v>Analysis &amp; Design</v>
      </c>
      <c r="F97" t="str">
        <v>MVP-P0</v>
      </c>
      <c r="G97" t="str">
        <v>CONFIRMED</v>
      </c>
      <c r="H97" t="str">
        <v>Solver Engineer</v>
      </c>
      <c r="I97" t="str">
        <v>Engineering</v>
      </c>
      <c r="J97">
        <v>3</v>
      </c>
      <c r="K97">
        <v>18</v>
      </c>
      <c r="L97">
        <v>2.6999999999999997</v>
      </c>
      <c r="M97">
        <v>20.7</v>
      </c>
      <c r="N97" t="str">
        <v>Not Started</v>
      </c>
    </row>
    <row r="98">
      <c r="A98" t="str">
        <v>127</v>
      </c>
      <c r="B98" t="str">
        <v>E04</v>
      </c>
      <c r="C98" t="str">
        <v>Solver</v>
      </c>
      <c r="D98" t="str">
        <v>F04.7.T2</v>
      </c>
      <c r="E98" t="str">
        <v>Implementation</v>
      </c>
      <c r="F98" t="str">
        <v>MVP-P0</v>
      </c>
      <c r="G98" t="str">
        <v>CONFIRMED</v>
      </c>
      <c r="H98" t="str">
        <v>Solver Engineer</v>
      </c>
      <c r="I98" t="str">
        <v>Engineering</v>
      </c>
      <c r="J98">
        <v>4</v>
      </c>
      <c r="K98">
        <v>24</v>
      </c>
      <c r="L98">
        <v>3.5999999999999996</v>
      </c>
      <c r="M98">
        <v>27.6</v>
      </c>
      <c r="N98" t="str">
        <v>Not Started</v>
      </c>
    </row>
    <row r="99">
      <c r="A99" t="str">
        <v>128</v>
      </c>
      <c r="B99" t="str">
        <v>E04</v>
      </c>
      <c r="C99" t="str">
        <v>Solver</v>
      </c>
      <c r="D99" t="str">
        <v>F04.7.T3</v>
      </c>
      <c r="E99" t="str">
        <v>Validation &amp; QA</v>
      </c>
      <c r="F99" t="str">
        <v>MVP-P0</v>
      </c>
      <c r="G99" t="str">
        <v>CONFIRMED</v>
      </c>
      <c r="H99" t="str">
        <v>QA Engineer</v>
      </c>
      <c r="I99" t="str">
        <v>Engineering</v>
      </c>
      <c r="J99">
        <v>3</v>
      </c>
      <c r="K99">
        <v>18</v>
      </c>
      <c r="L99">
        <v>2.6999999999999997</v>
      </c>
      <c r="M99">
        <v>20.7</v>
      </c>
      <c r="N99" t="str">
        <v>Not Started</v>
      </c>
    </row>
    <row r="100">
      <c r="A100" t="str">
        <v>130</v>
      </c>
      <c r="B100" t="str">
        <v>E04</v>
      </c>
      <c r="C100" t="str">
        <v>Solver</v>
      </c>
      <c r="D100" t="str">
        <v>F04.8.T1</v>
      </c>
      <c r="E100" t="str">
        <v>Analysis &amp; Design</v>
      </c>
      <c r="F100" t="str">
        <v>MVP-P0</v>
      </c>
      <c r="G100" t="str">
        <v>CONFIRMED/TBD</v>
      </c>
      <c r="H100" t="str">
        <v>Solver Engineer</v>
      </c>
      <c r="I100" t="str">
        <v>Engineering</v>
      </c>
      <c r="J100">
        <v>5</v>
      </c>
      <c r="K100">
        <v>30</v>
      </c>
      <c r="L100">
        <v>4.5</v>
      </c>
      <c r="M100">
        <v>34.5</v>
      </c>
      <c r="N100" t="str">
        <v>Not Started</v>
      </c>
    </row>
    <row r="101">
      <c r="A101" t="str">
        <v>131</v>
      </c>
      <c r="B101" t="str">
        <v>E04</v>
      </c>
      <c r="C101" t="str">
        <v>Solver</v>
      </c>
      <c r="D101" t="str">
        <v>F04.8.T2</v>
      </c>
      <c r="E101" t="str">
        <v>Implementation</v>
      </c>
      <c r="F101" t="str">
        <v>MVP-P0</v>
      </c>
      <c r="G101" t="str">
        <v>CONFIRMED/TBD</v>
      </c>
      <c r="H101" t="str">
        <v>Solver Engineer</v>
      </c>
      <c r="I101" t="str">
        <v>Engineering</v>
      </c>
      <c r="J101">
        <v>7</v>
      </c>
      <c r="K101">
        <v>42</v>
      </c>
      <c r="L101">
        <v>6.3</v>
      </c>
      <c r="M101">
        <v>48.3</v>
      </c>
      <c r="N101" t="str">
        <v>Not Started</v>
      </c>
    </row>
    <row r="102">
      <c r="A102" t="str">
        <v>132</v>
      </c>
      <c r="B102" t="str">
        <v>E04</v>
      </c>
      <c r="C102" t="str">
        <v>Solver</v>
      </c>
      <c r="D102" t="str">
        <v>F04.8.T3</v>
      </c>
      <c r="E102" t="str">
        <v>Validation &amp; QA</v>
      </c>
      <c r="F102" t="str">
        <v>MVP-P0</v>
      </c>
      <c r="G102" t="str">
        <v>CONFIRMED/TBD</v>
      </c>
      <c r="H102" t="str">
        <v>QA Engineer</v>
      </c>
      <c r="I102" t="str">
        <v>Engineering</v>
      </c>
      <c r="J102">
        <v>5</v>
      </c>
      <c r="K102">
        <v>30</v>
      </c>
      <c r="L102">
        <v>4.5</v>
      </c>
      <c r="M102">
        <v>34.5</v>
      </c>
      <c r="N102" t="str">
        <v>Not Started</v>
      </c>
    </row>
    <row r="103">
      <c r="A103" t="str">
        <v>134</v>
      </c>
      <c r="B103" t="str">
        <v>E04</v>
      </c>
      <c r="C103" t="str">
        <v>Solver</v>
      </c>
      <c r="D103" t="str">
        <v>F04.9.T1</v>
      </c>
      <c r="E103" t="str">
        <v>Analysis &amp; Design</v>
      </c>
      <c r="F103" t="str">
        <v>MVP-P0</v>
      </c>
      <c r="G103" t="str">
        <v>PROPOSED</v>
      </c>
      <c r="H103" t="str">
        <v>Solver Engineer</v>
      </c>
      <c r="I103" t="str">
        <v>Engineering</v>
      </c>
      <c r="J103">
        <v>3</v>
      </c>
      <c r="K103">
        <v>18</v>
      </c>
      <c r="L103">
        <v>2.6999999999999997</v>
      </c>
      <c r="M103">
        <v>20.7</v>
      </c>
      <c r="N103" t="str">
        <v>Not Started</v>
      </c>
    </row>
    <row r="104">
      <c r="A104" t="str">
        <v>135</v>
      </c>
      <c r="B104" t="str">
        <v>E04</v>
      </c>
      <c r="C104" t="str">
        <v>Solver</v>
      </c>
      <c r="D104" t="str">
        <v>F04.9.T2</v>
      </c>
      <c r="E104" t="str">
        <v>Implementation</v>
      </c>
      <c r="F104" t="str">
        <v>MVP-P0</v>
      </c>
      <c r="G104" t="str">
        <v>PROPOSED</v>
      </c>
      <c r="H104" t="str">
        <v>Solver Engineer</v>
      </c>
      <c r="I104" t="str">
        <v>Engineering</v>
      </c>
      <c r="J104">
        <v>4</v>
      </c>
      <c r="K104">
        <v>24</v>
      </c>
      <c r="L104">
        <v>3.5999999999999996</v>
      </c>
      <c r="M104">
        <v>27.6</v>
      </c>
      <c r="N104" t="str">
        <v>Not Started</v>
      </c>
    </row>
    <row r="105">
      <c r="A105" t="str">
        <v>136</v>
      </c>
      <c r="B105" t="str">
        <v>E04</v>
      </c>
      <c r="C105" t="str">
        <v>Solver</v>
      </c>
      <c r="D105" t="str">
        <v>F04.9.T3</v>
      </c>
      <c r="E105" t="str">
        <v>Validation &amp; QA</v>
      </c>
      <c r="F105" t="str">
        <v>MVP-P0</v>
      </c>
      <c r="G105" t="str">
        <v>PROPOSED</v>
      </c>
      <c r="H105" t="str">
        <v>QA Engineer</v>
      </c>
      <c r="I105" t="str">
        <v>Engineering</v>
      </c>
      <c r="J105">
        <v>3</v>
      </c>
      <c r="K105">
        <v>18</v>
      </c>
      <c r="L105">
        <v>2.6999999999999997</v>
      </c>
      <c r="M105">
        <v>20.7</v>
      </c>
      <c r="N105" t="str">
        <v>Not Started</v>
      </c>
    </row>
    <row r="106">
      <c r="A106" t="str">
        <v>138</v>
      </c>
      <c r="B106" t="str">
        <v>E04</v>
      </c>
      <c r="C106" t="str">
        <v>Solver</v>
      </c>
      <c r="D106" t="str">
        <v>F04.10.T1</v>
      </c>
      <c r="E106" t="str">
        <v>Analysis &amp; Design</v>
      </c>
      <c r="F106" t="str">
        <v>MVP-P0</v>
      </c>
      <c r="G106" t="str">
        <v>PROPOSED</v>
      </c>
      <c r="H106" t="str">
        <v>Solver Engineer</v>
      </c>
      <c r="I106" t="str">
        <v>Engineering</v>
      </c>
      <c r="J106">
        <v>3</v>
      </c>
      <c r="K106">
        <v>18</v>
      </c>
      <c r="L106">
        <v>2.6999999999999997</v>
      </c>
      <c r="M106">
        <v>20.7</v>
      </c>
      <c r="N106" t="str">
        <v>Not Started</v>
      </c>
    </row>
    <row r="107">
      <c r="A107" t="str">
        <v>139</v>
      </c>
      <c r="B107" t="str">
        <v>E04</v>
      </c>
      <c r="C107" t="str">
        <v>Solver</v>
      </c>
      <c r="D107" t="str">
        <v>F04.10.T2</v>
      </c>
      <c r="E107" t="str">
        <v>Implementation</v>
      </c>
      <c r="F107" t="str">
        <v>MVP-P0</v>
      </c>
      <c r="G107" t="str">
        <v>PROPOSED</v>
      </c>
      <c r="H107" t="str">
        <v>Solver Engineer</v>
      </c>
      <c r="I107" t="str">
        <v>Engineering</v>
      </c>
      <c r="J107">
        <v>4</v>
      </c>
      <c r="K107">
        <v>24</v>
      </c>
      <c r="L107">
        <v>3.5999999999999996</v>
      </c>
      <c r="M107">
        <v>27.6</v>
      </c>
      <c r="N107" t="str">
        <v>Not Started</v>
      </c>
    </row>
    <row r="108">
      <c r="A108" t="str">
        <v>140</v>
      </c>
      <c r="B108" t="str">
        <v>E04</v>
      </c>
      <c r="C108" t="str">
        <v>Solver</v>
      </c>
      <c r="D108" t="str">
        <v>F04.10.T3</v>
      </c>
      <c r="E108" t="str">
        <v>Validation &amp; QA</v>
      </c>
      <c r="F108" t="str">
        <v>MVP-P0</v>
      </c>
      <c r="G108" t="str">
        <v>PROPOSED</v>
      </c>
      <c r="H108" t="str">
        <v>QA Engineer</v>
      </c>
      <c r="I108" t="str">
        <v>Engineering</v>
      </c>
      <c r="J108">
        <v>3</v>
      </c>
      <c r="K108">
        <v>18</v>
      </c>
      <c r="L108">
        <v>2.6999999999999997</v>
      </c>
      <c r="M108">
        <v>20.7</v>
      </c>
      <c r="N108" t="str">
        <v>Not Started</v>
      </c>
    </row>
    <row r="109">
      <c r="A109" t="str">
        <v>142</v>
      </c>
      <c r="B109" t="str">
        <v>E05</v>
      </c>
      <c r="C109" t="str">
        <v>Level Generator &amp; Difficulty</v>
      </c>
      <c r="D109" t="str">
        <v>F05.1.T1</v>
      </c>
      <c r="E109" t="str">
        <v>Analysis &amp; Design</v>
      </c>
      <c r="F109" t="str">
        <v>MVP-P0</v>
      </c>
      <c r="G109" t="str">
        <v>CONFIRMED</v>
      </c>
      <c r="H109" t="str">
        <v>Game Designer/Engineer</v>
      </c>
      <c r="I109" t="str">
        <v>Game Design/Engineering</v>
      </c>
      <c r="J109">
        <v>3</v>
      </c>
      <c r="K109">
        <v>18</v>
      </c>
      <c r="L109">
        <v>2.6999999999999997</v>
      </c>
      <c r="M109">
        <v>20.7</v>
      </c>
      <c r="N109" t="str">
        <v>Not Started</v>
      </c>
    </row>
    <row r="110">
      <c r="A110" t="str">
        <v>143</v>
      </c>
      <c r="B110" t="str">
        <v>E05</v>
      </c>
      <c r="C110" t="str">
        <v>Level Generator &amp; Difficulty</v>
      </c>
      <c r="D110" t="str">
        <v>F05.1.T2</v>
      </c>
      <c r="E110" t="str">
        <v>Implementation</v>
      </c>
      <c r="F110" t="str">
        <v>MVP-P0</v>
      </c>
      <c r="G110" t="str">
        <v>CONFIRMED</v>
      </c>
      <c r="H110" t="str">
        <v>Game Designer/Engineer</v>
      </c>
      <c r="I110" t="str">
        <v>Game Design/Engineering</v>
      </c>
      <c r="J110">
        <v>4</v>
      </c>
      <c r="K110">
        <v>24</v>
      </c>
      <c r="L110">
        <v>3.5999999999999996</v>
      </c>
      <c r="M110">
        <v>27.6</v>
      </c>
      <c r="N110" t="str">
        <v>Not Started</v>
      </c>
    </row>
    <row r="111">
      <c r="A111" t="str">
        <v>144</v>
      </c>
      <c r="B111" t="str">
        <v>E05</v>
      </c>
      <c r="C111" t="str">
        <v>Level Generator &amp; Difficulty</v>
      </c>
      <c r="D111" t="str">
        <v>F05.1.T3</v>
      </c>
      <c r="E111" t="str">
        <v>Validation &amp; QA</v>
      </c>
      <c r="F111" t="str">
        <v>MVP-P0</v>
      </c>
      <c r="G111" t="str">
        <v>CONFIRMED</v>
      </c>
      <c r="H111" t="str">
        <v>QA Engineer</v>
      </c>
      <c r="I111" t="str">
        <v>Game Design/Engineering</v>
      </c>
      <c r="J111">
        <v>3</v>
      </c>
      <c r="K111">
        <v>18</v>
      </c>
      <c r="L111">
        <v>2.6999999999999997</v>
      </c>
      <c r="M111">
        <v>20.7</v>
      </c>
      <c r="N111" t="str">
        <v>Not Started</v>
      </c>
    </row>
    <row r="112">
      <c r="A112" t="str">
        <v>146</v>
      </c>
      <c r="B112" t="str">
        <v>E05</v>
      </c>
      <c r="C112" t="str">
        <v>Level Generator &amp; Difficulty</v>
      </c>
      <c r="D112" t="str">
        <v>F05.2.T1</v>
      </c>
      <c r="E112" t="str">
        <v>Analysis &amp; Design</v>
      </c>
      <c r="F112" t="str">
        <v>MVP-P0</v>
      </c>
      <c r="G112" t="str">
        <v>PROPOSED</v>
      </c>
      <c r="H112" t="str">
        <v>Game Engineer</v>
      </c>
      <c r="I112" t="str">
        <v>Game Design/Engineering</v>
      </c>
      <c r="J112">
        <v>5</v>
      </c>
      <c r="K112">
        <v>30</v>
      </c>
      <c r="L112">
        <v>4.5</v>
      </c>
      <c r="M112">
        <v>34.5</v>
      </c>
      <c r="N112" t="str">
        <v>Not Started</v>
      </c>
    </row>
    <row r="113">
      <c r="A113" t="str">
        <v>147</v>
      </c>
      <c r="B113" t="str">
        <v>E05</v>
      </c>
      <c r="C113" t="str">
        <v>Level Generator &amp; Difficulty</v>
      </c>
      <c r="D113" t="str">
        <v>F05.2.T2</v>
      </c>
      <c r="E113" t="str">
        <v>Implementation</v>
      </c>
      <c r="F113" t="str">
        <v>MVP-P0</v>
      </c>
      <c r="G113" t="str">
        <v>PROPOSED</v>
      </c>
      <c r="H113" t="str">
        <v>Game Engineer</v>
      </c>
      <c r="I113" t="str">
        <v>Game Design/Engineering</v>
      </c>
      <c r="J113">
        <v>7</v>
      </c>
      <c r="K113">
        <v>42</v>
      </c>
      <c r="L113">
        <v>6.3</v>
      </c>
      <c r="M113">
        <v>48.3</v>
      </c>
      <c r="N113" t="str">
        <v>Not Started</v>
      </c>
    </row>
    <row r="114">
      <c r="A114" t="str">
        <v>148</v>
      </c>
      <c r="B114" t="str">
        <v>E05</v>
      </c>
      <c r="C114" t="str">
        <v>Level Generator &amp; Difficulty</v>
      </c>
      <c r="D114" t="str">
        <v>F05.2.T3</v>
      </c>
      <c r="E114" t="str">
        <v>Validation &amp; QA</v>
      </c>
      <c r="F114" t="str">
        <v>MVP-P0</v>
      </c>
      <c r="G114" t="str">
        <v>PROPOSED</v>
      </c>
      <c r="H114" t="str">
        <v>QA Engineer</v>
      </c>
      <c r="I114" t="str">
        <v>Game Design/Engineering</v>
      </c>
      <c r="J114">
        <v>5</v>
      </c>
      <c r="K114">
        <v>30</v>
      </c>
      <c r="L114">
        <v>4.5</v>
      </c>
      <c r="M114">
        <v>34.5</v>
      </c>
      <c r="N114" t="str">
        <v>Not Started</v>
      </c>
    </row>
    <row r="115">
      <c r="A115" t="str">
        <v>150</v>
      </c>
      <c r="B115" t="str">
        <v>E05</v>
      </c>
      <c r="C115" t="str">
        <v>Level Generator &amp; Difficulty</v>
      </c>
      <c r="D115" t="str">
        <v>F05.3.T1</v>
      </c>
      <c r="E115" t="str">
        <v>Analysis &amp; Design</v>
      </c>
      <c r="F115" t="str">
        <v>MVP-P0</v>
      </c>
      <c r="G115" t="str">
        <v>CONFIRMED</v>
      </c>
      <c r="H115" t="str">
        <v>Game Engineer</v>
      </c>
      <c r="I115" t="str">
        <v>Game Design/Engineering</v>
      </c>
      <c r="J115">
        <v>3</v>
      </c>
      <c r="K115">
        <v>18</v>
      </c>
      <c r="L115">
        <v>2.6999999999999997</v>
      </c>
      <c r="M115">
        <v>20.7</v>
      </c>
      <c r="N115" t="str">
        <v>Not Started</v>
      </c>
    </row>
    <row r="116">
      <c r="A116" t="str">
        <v>151</v>
      </c>
      <c r="B116" t="str">
        <v>E05</v>
      </c>
      <c r="C116" t="str">
        <v>Level Generator &amp; Difficulty</v>
      </c>
      <c r="D116" t="str">
        <v>F05.3.T2</v>
      </c>
      <c r="E116" t="str">
        <v>Implementation</v>
      </c>
      <c r="F116" t="str">
        <v>MVP-P0</v>
      </c>
      <c r="G116" t="str">
        <v>CONFIRMED</v>
      </c>
      <c r="H116" t="str">
        <v>Game Engineer</v>
      </c>
      <c r="I116" t="str">
        <v>Game Design/Engineering</v>
      </c>
      <c r="J116">
        <v>4</v>
      </c>
      <c r="K116">
        <v>24</v>
      </c>
      <c r="L116">
        <v>3.5999999999999996</v>
      </c>
      <c r="M116">
        <v>27.6</v>
      </c>
      <c r="N116" t="str">
        <v>Not Started</v>
      </c>
    </row>
    <row r="117">
      <c r="A117" t="str">
        <v>152</v>
      </c>
      <c r="B117" t="str">
        <v>E05</v>
      </c>
      <c r="C117" t="str">
        <v>Level Generator &amp; Difficulty</v>
      </c>
      <c r="D117" t="str">
        <v>F05.3.T3</v>
      </c>
      <c r="E117" t="str">
        <v>Validation &amp; QA</v>
      </c>
      <c r="F117" t="str">
        <v>MVP-P0</v>
      </c>
      <c r="G117" t="str">
        <v>CONFIRMED</v>
      </c>
      <c r="H117" t="str">
        <v>QA Engineer</v>
      </c>
      <c r="I117" t="str">
        <v>Game Design/Engineering</v>
      </c>
      <c r="J117">
        <v>3</v>
      </c>
      <c r="K117">
        <v>18</v>
      </c>
      <c r="L117">
        <v>2.6999999999999997</v>
      </c>
      <c r="M117">
        <v>20.7</v>
      </c>
      <c r="N117" t="str">
        <v>Not Started</v>
      </c>
    </row>
    <row r="118">
      <c r="A118" t="str">
        <v>154</v>
      </c>
      <c r="B118" t="str">
        <v>E05</v>
      </c>
      <c r="C118" t="str">
        <v>Level Generator &amp; Difficulty</v>
      </c>
      <c r="D118" t="str">
        <v>F05.4.T1</v>
      </c>
      <c r="E118" t="str">
        <v>Analysis &amp; Design</v>
      </c>
      <c r="F118" t="str">
        <v>MVP-P0</v>
      </c>
      <c r="G118" t="str">
        <v>CONFIRMED</v>
      </c>
      <c r="H118" t="str">
        <v>Game Engineer</v>
      </c>
      <c r="I118" t="str">
        <v>Game Design/Engineering</v>
      </c>
      <c r="J118">
        <v>3</v>
      </c>
      <c r="K118">
        <v>18</v>
      </c>
      <c r="L118">
        <v>2.6999999999999997</v>
      </c>
      <c r="M118">
        <v>20.7</v>
      </c>
      <c r="N118" t="str">
        <v>Not Started</v>
      </c>
    </row>
    <row r="119">
      <c r="A119" t="str">
        <v>155</v>
      </c>
      <c r="B119" t="str">
        <v>E05</v>
      </c>
      <c r="C119" t="str">
        <v>Level Generator &amp; Difficulty</v>
      </c>
      <c r="D119" t="str">
        <v>F05.4.T2</v>
      </c>
      <c r="E119" t="str">
        <v>Implementation</v>
      </c>
      <c r="F119" t="str">
        <v>MVP-P0</v>
      </c>
      <c r="G119" t="str">
        <v>CONFIRMED</v>
      </c>
      <c r="H119" t="str">
        <v>Game Engineer</v>
      </c>
      <c r="I119" t="str">
        <v>Game Design/Engineering</v>
      </c>
      <c r="J119">
        <v>4</v>
      </c>
      <c r="K119">
        <v>24</v>
      </c>
      <c r="L119">
        <v>3.5999999999999996</v>
      </c>
      <c r="M119">
        <v>27.6</v>
      </c>
      <c r="N119" t="str">
        <v>Not Started</v>
      </c>
    </row>
    <row r="120">
      <c r="A120" t="str">
        <v>156</v>
      </c>
      <c r="B120" t="str">
        <v>E05</v>
      </c>
      <c r="C120" t="str">
        <v>Level Generator &amp; Difficulty</v>
      </c>
      <c r="D120" t="str">
        <v>F05.4.T3</v>
      </c>
      <c r="E120" t="str">
        <v>Validation &amp; QA</v>
      </c>
      <c r="F120" t="str">
        <v>MVP-P0</v>
      </c>
      <c r="G120" t="str">
        <v>CONFIRMED</v>
      </c>
      <c r="H120" t="str">
        <v>QA Engineer</v>
      </c>
      <c r="I120" t="str">
        <v>Game Design/Engineering</v>
      </c>
      <c r="J120">
        <v>3</v>
      </c>
      <c r="K120">
        <v>18</v>
      </c>
      <c r="L120">
        <v>2.6999999999999997</v>
      </c>
      <c r="M120">
        <v>20.7</v>
      </c>
      <c r="N120" t="str">
        <v>Not Started</v>
      </c>
    </row>
    <row r="121">
      <c r="A121" t="str">
        <v>158</v>
      </c>
      <c r="B121" t="str">
        <v>E05</v>
      </c>
      <c r="C121" t="str">
        <v>Level Generator &amp; Difficulty</v>
      </c>
      <c r="D121" t="str">
        <v>F05.5.T1</v>
      </c>
      <c r="E121" t="str">
        <v>Analysis &amp; Design</v>
      </c>
      <c r="F121" t="str">
        <v>MVP-P0</v>
      </c>
      <c r="G121" t="str">
        <v>CONFIRMED</v>
      </c>
      <c r="H121" t="str">
        <v>Game Engineer</v>
      </c>
      <c r="I121" t="str">
        <v>Game Design/Engineering</v>
      </c>
      <c r="J121">
        <v>5</v>
      </c>
      <c r="K121">
        <v>30</v>
      </c>
      <c r="L121">
        <v>4.5</v>
      </c>
      <c r="M121">
        <v>34.5</v>
      </c>
      <c r="N121" t="str">
        <v>Not Started</v>
      </c>
    </row>
    <row r="122">
      <c r="A122" t="str">
        <v>159</v>
      </c>
      <c r="B122" t="str">
        <v>E05</v>
      </c>
      <c r="C122" t="str">
        <v>Level Generator &amp; Difficulty</v>
      </c>
      <c r="D122" t="str">
        <v>F05.5.T2</v>
      </c>
      <c r="E122" t="str">
        <v>Implementation</v>
      </c>
      <c r="F122" t="str">
        <v>MVP-P0</v>
      </c>
      <c r="G122" t="str">
        <v>CONFIRMED</v>
      </c>
      <c r="H122" t="str">
        <v>Game Engineer</v>
      </c>
      <c r="I122" t="str">
        <v>Game Design/Engineering</v>
      </c>
      <c r="J122">
        <v>7</v>
      </c>
      <c r="K122">
        <v>42</v>
      </c>
      <c r="L122">
        <v>6.3</v>
      </c>
      <c r="M122">
        <v>48.3</v>
      </c>
      <c r="N122" t="str">
        <v>Not Started</v>
      </c>
    </row>
    <row r="123">
      <c r="A123" t="str">
        <v>160</v>
      </c>
      <c r="B123" t="str">
        <v>E05</v>
      </c>
      <c r="C123" t="str">
        <v>Level Generator &amp; Difficulty</v>
      </c>
      <c r="D123" t="str">
        <v>F05.5.T3</v>
      </c>
      <c r="E123" t="str">
        <v>Validation &amp; QA</v>
      </c>
      <c r="F123" t="str">
        <v>MVP-P0</v>
      </c>
      <c r="G123" t="str">
        <v>CONFIRMED</v>
      </c>
      <c r="H123" t="str">
        <v>QA Engineer</v>
      </c>
      <c r="I123" t="str">
        <v>Game Design/Engineering</v>
      </c>
      <c r="J123">
        <v>5</v>
      </c>
      <c r="K123">
        <v>30</v>
      </c>
      <c r="L123">
        <v>4.5</v>
      </c>
      <c r="M123">
        <v>34.5</v>
      </c>
      <c r="N123" t="str">
        <v>Not Started</v>
      </c>
    </row>
    <row r="124">
      <c r="A124" t="str">
        <v>162</v>
      </c>
      <c r="B124" t="str">
        <v>E05</v>
      </c>
      <c r="C124" t="str">
        <v>Level Generator &amp; Difficulty</v>
      </c>
      <c r="D124" t="str">
        <v>F05.6.T1</v>
      </c>
      <c r="E124" t="str">
        <v>Analysis &amp; Design</v>
      </c>
      <c r="F124" t="str">
        <v>MVP-P0</v>
      </c>
      <c r="G124" t="str">
        <v>PROPOSED</v>
      </c>
      <c r="H124" t="str">
        <v>Game Engineer</v>
      </c>
      <c r="I124" t="str">
        <v>Game Design/Engineering</v>
      </c>
      <c r="J124">
        <v>5</v>
      </c>
      <c r="K124">
        <v>30</v>
      </c>
      <c r="L124">
        <v>4.5</v>
      </c>
      <c r="M124">
        <v>34.5</v>
      </c>
      <c r="N124" t="str">
        <v>Not Started</v>
      </c>
    </row>
    <row r="125">
      <c r="A125" t="str">
        <v>163</v>
      </c>
      <c r="B125" t="str">
        <v>E05</v>
      </c>
      <c r="C125" t="str">
        <v>Level Generator &amp; Difficulty</v>
      </c>
      <c r="D125" t="str">
        <v>F05.6.T2</v>
      </c>
      <c r="E125" t="str">
        <v>Implementation</v>
      </c>
      <c r="F125" t="str">
        <v>MVP-P0</v>
      </c>
      <c r="G125" t="str">
        <v>PROPOSED</v>
      </c>
      <c r="H125" t="str">
        <v>Game Engineer</v>
      </c>
      <c r="I125" t="str">
        <v>Game Design/Engineering</v>
      </c>
      <c r="J125">
        <v>7</v>
      </c>
      <c r="K125">
        <v>42</v>
      </c>
      <c r="L125">
        <v>6.3</v>
      </c>
      <c r="M125">
        <v>48.3</v>
      </c>
      <c r="N125" t="str">
        <v>Not Started</v>
      </c>
    </row>
    <row r="126">
      <c r="A126" t="str">
        <v>164</v>
      </c>
      <c r="B126" t="str">
        <v>E05</v>
      </c>
      <c r="C126" t="str">
        <v>Level Generator &amp; Difficulty</v>
      </c>
      <c r="D126" t="str">
        <v>F05.6.T3</v>
      </c>
      <c r="E126" t="str">
        <v>Validation &amp; QA</v>
      </c>
      <c r="F126" t="str">
        <v>MVP-P0</v>
      </c>
      <c r="G126" t="str">
        <v>PROPOSED</v>
      </c>
      <c r="H126" t="str">
        <v>QA Engineer</v>
      </c>
      <c r="I126" t="str">
        <v>Game Design/Engineering</v>
      </c>
      <c r="J126">
        <v>5</v>
      </c>
      <c r="K126">
        <v>30</v>
      </c>
      <c r="L126">
        <v>4.5</v>
      </c>
      <c r="M126">
        <v>34.5</v>
      </c>
      <c r="N126" t="str">
        <v>Not Started</v>
      </c>
    </row>
    <row r="127">
      <c r="A127" t="str">
        <v>166</v>
      </c>
      <c r="B127" t="str">
        <v>E05</v>
      </c>
      <c r="C127" t="str">
        <v>Level Generator &amp; Difficulty</v>
      </c>
      <c r="D127" t="str">
        <v>F05.7.T1</v>
      </c>
      <c r="E127" t="str">
        <v>Analysis &amp; Design</v>
      </c>
      <c r="F127" t="str">
        <v>MVP-P0</v>
      </c>
      <c r="G127" t="str">
        <v>CONFIRMED/PROPOSED</v>
      </c>
      <c r="H127" t="str">
        <v>Game Engineer</v>
      </c>
      <c r="I127" t="str">
        <v>Game Design/Engineering</v>
      </c>
      <c r="J127">
        <v>2</v>
      </c>
      <c r="K127">
        <v>12</v>
      </c>
      <c r="L127">
        <v>1.7999999999999998</v>
      </c>
      <c r="M127">
        <v>13.8</v>
      </c>
      <c r="N127" t="str">
        <v>Not Started</v>
      </c>
    </row>
    <row r="128">
      <c r="A128" t="str">
        <v>167</v>
      </c>
      <c r="B128" t="str">
        <v>E05</v>
      </c>
      <c r="C128" t="str">
        <v>Level Generator &amp; Difficulty</v>
      </c>
      <c r="D128" t="str">
        <v>F05.7.T2</v>
      </c>
      <c r="E128" t="str">
        <v>Implementation</v>
      </c>
      <c r="F128" t="str">
        <v>MVP-P0</v>
      </c>
      <c r="G128" t="str">
        <v>CONFIRMED/PROPOSED</v>
      </c>
      <c r="H128" t="str">
        <v>Game Engineer</v>
      </c>
      <c r="I128" t="str">
        <v>Game Design/Engineering</v>
      </c>
      <c r="J128">
        <v>3</v>
      </c>
      <c r="K128">
        <v>18</v>
      </c>
      <c r="L128">
        <v>2.6999999999999997</v>
      </c>
      <c r="M128">
        <v>20.7</v>
      </c>
      <c r="N128" t="str">
        <v>Not Started</v>
      </c>
    </row>
    <row r="129">
      <c r="A129" t="str">
        <v>168</v>
      </c>
      <c r="B129" t="str">
        <v>E05</v>
      </c>
      <c r="C129" t="str">
        <v>Level Generator &amp; Difficulty</v>
      </c>
      <c r="D129" t="str">
        <v>F05.7.T3</v>
      </c>
      <c r="E129" t="str">
        <v>Validation &amp; QA</v>
      </c>
      <c r="F129" t="str">
        <v>MVP-P0</v>
      </c>
      <c r="G129" t="str">
        <v>CONFIRMED/PROPOSED</v>
      </c>
      <c r="H129" t="str">
        <v>QA Engineer</v>
      </c>
      <c r="I129" t="str">
        <v>Game Design/Engineering</v>
      </c>
      <c r="J129">
        <v>2</v>
      </c>
      <c r="K129">
        <v>12</v>
      </c>
      <c r="L129">
        <v>1.7999999999999998</v>
      </c>
      <c r="M129">
        <v>13.8</v>
      </c>
      <c r="N129" t="str">
        <v>Not Started</v>
      </c>
    </row>
    <row r="130">
      <c r="A130" t="str">
        <v>170</v>
      </c>
      <c r="B130" t="str">
        <v>E05</v>
      </c>
      <c r="C130" t="str">
        <v>Level Generator &amp; Difficulty</v>
      </c>
      <c r="D130" t="str">
        <v>F05.8.T1</v>
      </c>
      <c r="E130" t="str">
        <v>Analysis &amp; Design</v>
      </c>
      <c r="F130" t="str">
        <v>MVP-P0</v>
      </c>
      <c r="G130" t="str">
        <v>CONFIRMED CONCEPT</v>
      </c>
      <c r="H130" t="str">
        <v>Game Engineer</v>
      </c>
      <c r="I130" t="str">
        <v>Game Design/Engineering</v>
      </c>
      <c r="J130">
        <v>3</v>
      </c>
      <c r="K130">
        <v>18</v>
      </c>
      <c r="L130">
        <v>2.6999999999999997</v>
      </c>
      <c r="M130">
        <v>20.7</v>
      </c>
      <c r="N130" t="str">
        <v>Not Started</v>
      </c>
    </row>
    <row r="131">
      <c r="A131" t="str">
        <v>171</v>
      </c>
      <c r="B131" t="str">
        <v>E05</v>
      </c>
      <c r="C131" t="str">
        <v>Level Generator &amp; Difficulty</v>
      </c>
      <c r="D131" t="str">
        <v>F05.8.T2</v>
      </c>
      <c r="E131" t="str">
        <v>Implementation</v>
      </c>
      <c r="F131" t="str">
        <v>MVP-P0</v>
      </c>
      <c r="G131" t="str">
        <v>CONFIRMED CONCEPT</v>
      </c>
      <c r="H131" t="str">
        <v>Game Engineer</v>
      </c>
      <c r="I131" t="str">
        <v>Game Design/Engineering</v>
      </c>
      <c r="J131">
        <v>4</v>
      </c>
      <c r="K131">
        <v>24</v>
      </c>
      <c r="L131">
        <v>3.5999999999999996</v>
      </c>
      <c r="M131">
        <v>27.6</v>
      </c>
      <c r="N131" t="str">
        <v>Not Started</v>
      </c>
    </row>
    <row r="132">
      <c r="A132" t="str">
        <v>172</v>
      </c>
      <c r="B132" t="str">
        <v>E05</v>
      </c>
      <c r="C132" t="str">
        <v>Level Generator &amp; Difficulty</v>
      </c>
      <c r="D132" t="str">
        <v>F05.8.T3</v>
      </c>
      <c r="E132" t="str">
        <v>Validation &amp; QA</v>
      </c>
      <c r="F132" t="str">
        <v>MVP-P0</v>
      </c>
      <c r="G132" t="str">
        <v>CONFIRMED CONCEPT</v>
      </c>
      <c r="H132" t="str">
        <v>QA Engineer</v>
      </c>
      <c r="I132" t="str">
        <v>Game Design/Engineering</v>
      </c>
      <c r="J132">
        <v>3</v>
      </c>
      <c r="K132">
        <v>18</v>
      </c>
      <c r="L132">
        <v>2.6999999999999997</v>
      </c>
      <c r="M132">
        <v>20.7</v>
      </c>
      <c r="N132" t="str">
        <v>Not Started</v>
      </c>
    </row>
    <row r="133">
      <c r="A133" t="str">
        <v>174</v>
      </c>
      <c r="B133" t="str">
        <v>E05</v>
      </c>
      <c r="C133" t="str">
        <v>Level Generator &amp; Difficulty</v>
      </c>
      <c r="D133" t="str">
        <v>F05.9.T1</v>
      </c>
      <c r="E133" t="str">
        <v>Analysis &amp; Design</v>
      </c>
      <c r="F133" t="str">
        <v>MVP-P0</v>
      </c>
      <c r="G133" t="str">
        <v>CONFIRMED</v>
      </c>
      <c r="H133" t="str">
        <v>QA/Solver Engineer</v>
      </c>
      <c r="I133" t="str">
        <v>Game Design/Engineering</v>
      </c>
      <c r="J133">
        <v>5</v>
      </c>
      <c r="K133">
        <v>30</v>
      </c>
      <c r="L133">
        <v>4.5</v>
      </c>
      <c r="M133">
        <v>34.5</v>
      </c>
      <c r="N133" t="str">
        <v>Not Started</v>
      </c>
    </row>
    <row r="134">
      <c r="A134" t="str">
        <v>175</v>
      </c>
      <c r="B134" t="str">
        <v>E05</v>
      </c>
      <c r="C134" t="str">
        <v>Level Generator &amp; Difficulty</v>
      </c>
      <c r="D134" t="str">
        <v>F05.9.T2</v>
      </c>
      <c r="E134" t="str">
        <v>Implementation</v>
      </c>
      <c r="F134" t="str">
        <v>MVP-P0</v>
      </c>
      <c r="G134" t="str">
        <v>CONFIRMED</v>
      </c>
      <c r="H134" t="str">
        <v>QA/Solver Engineer</v>
      </c>
      <c r="I134" t="str">
        <v>Game Design/Engineering</v>
      </c>
      <c r="J134">
        <v>7</v>
      </c>
      <c r="K134">
        <v>42</v>
      </c>
      <c r="L134">
        <v>6.3</v>
      </c>
      <c r="M134">
        <v>48.3</v>
      </c>
      <c r="N134" t="str">
        <v>Not Started</v>
      </c>
    </row>
    <row r="135">
      <c r="A135" t="str">
        <v>176</v>
      </c>
      <c r="B135" t="str">
        <v>E05</v>
      </c>
      <c r="C135" t="str">
        <v>Level Generator &amp; Difficulty</v>
      </c>
      <c r="D135" t="str">
        <v>F05.9.T3</v>
      </c>
      <c r="E135" t="str">
        <v>Validation &amp; QA</v>
      </c>
      <c r="F135" t="str">
        <v>MVP-P0</v>
      </c>
      <c r="G135" t="str">
        <v>CONFIRMED</v>
      </c>
      <c r="H135" t="str">
        <v>QA Engineer</v>
      </c>
      <c r="I135" t="str">
        <v>Game Design/Engineering</v>
      </c>
      <c r="J135">
        <v>5</v>
      </c>
      <c r="K135">
        <v>30</v>
      </c>
      <c r="L135">
        <v>4.5</v>
      </c>
      <c r="M135">
        <v>34.5</v>
      </c>
      <c r="N135" t="str">
        <v>Not Started</v>
      </c>
    </row>
    <row r="136">
      <c r="A136" t="str">
        <v>178</v>
      </c>
      <c r="B136" t="str">
        <v>E05</v>
      </c>
      <c r="C136" t="str">
        <v>Level Generator &amp; Difficulty</v>
      </c>
      <c r="D136" t="str">
        <v>F05.10.T1</v>
      </c>
      <c r="E136" t="str">
        <v>Analysis &amp; Design</v>
      </c>
      <c r="F136" t="str">
        <v>MVP-P0</v>
      </c>
      <c r="G136" t="str">
        <v>TBD</v>
      </c>
      <c r="H136" t="str">
        <v>Game Engineer</v>
      </c>
      <c r="I136" t="str">
        <v>Game Design/Engineering</v>
      </c>
      <c r="J136">
        <v>3</v>
      </c>
      <c r="K136">
        <v>18</v>
      </c>
      <c r="L136">
        <v>2.6999999999999997</v>
      </c>
      <c r="M136">
        <v>20.7</v>
      </c>
      <c r="N136" t="str">
        <v>Not Started</v>
      </c>
    </row>
    <row r="137">
      <c r="A137" t="str">
        <v>179</v>
      </c>
      <c r="B137" t="str">
        <v>E05</v>
      </c>
      <c r="C137" t="str">
        <v>Level Generator &amp; Difficulty</v>
      </c>
      <c r="D137" t="str">
        <v>F05.10.T2</v>
      </c>
      <c r="E137" t="str">
        <v>Implementation</v>
      </c>
      <c r="F137" t="str">
        <v>MVP-P0</v>
      </c>
      <c r="G137" t="str">
        <v>TBD</v>
      </c>
      <c r="H137" t="str">
        <v>Game Engineer</v>
      </c>
      <c r="I137" t="str">
        <v>Game Design/Engineering</v>
      </c>
      <c r="J137">
        <v>4</v>
      </c>
      <c r="K137">
        <v>24</v>
      </c>
      <c r="L137">
        <v>3.5999999999999996</v>
      </c>
      <c r="M137">
        <v>27.6</v>
      </c>
      <c r="N137" t="str">
        <v>Not Started</v>
      </c>
    </row>
    <row r="138">
      <c r="A138" t="str">
        <v>180</v>
      </c>
      <c r="B138" t="str">
        <v>E05</v>
      </c>
      <c r="C138" t="str">
        <v>Level Generator &amp; Difficulty</v>
      </c>
      <c r="D138" t="str">
        <v>F05.10.T3</v>
      </c>
      <c r="E138" t="str">
        <v>Validation &amp; QA</v>
      </c>
      <c r="F138" t="str">
        <v>MVP-P0</v>
      </c>
      <c r="G138" t="str">
        <v>TBD</v>
      </c>
      <c r="H138" t="str">
        <v>QA Engineer</v>
      </c>
      <c r="I138" t="str">
        <v>Game Design/Engineering</v>
      </c>
      <c r="J138">
        <v>3</v>
      </c>
      <c r="K138">
        <v>18</v>
      </c>
      <c r="L138">
        <v>2.6999999999999997</v>
      </c>
      <c r="M138">
        <v>20.7</v>
      </c>
      <c r="N138" t="str">
        <v>Not Started</v>
      </c>
    </row>
    <row r="139">
      <c r="A139" t="str">
        <v>182</v>
      </c>
      <c r="B139" t="str">
        <v>E06</v>
      </c>
      <c r="C139" t="str">
        <v>Tutorial &amp; Onboarding</v>
      </c>
      <c r="D139" t="str">
        <v>F06.1.T1</v>
      </c>
      <c r="E139" t="str">
        <v>Analysis &amp; Design</v>
      </c>
      <c r="F139" t="str">
        <v>MVP-P0</v>
      </c>
      <c r="G139" t="str">
        <v>CONFIRMED</v>
      </c>
      <c r="H139" t="str">
        <v>Product Engineer</v>
      </c>
      <c r="I139" t="str">
        <v>Product/UX</v>
      </c>
      <c r="J139">
        <v>2</v>
      </c>
      <c r="K139">
        <v>12</v>
      </c>
      <c r="L139">
        <v>1.7999999999999998</v>
      </c>
      <c r="M139">
        <v>13.8</v>
      </c>
      <c r="N139" t="str">
        <v>Not Started</v>
      </c>
    </row>
    <row r="140">
      <c r="A140" t="str">
        <v>183</v>
      </c>
      <c r="B140" t="str">
        <v>E06</v>
      </c>
      <c r="C140" t="str">
        <v>Tutorial &amp; Onboarding</v>
      </c>
      <c r="D140" t="str">
        <v>F06.1.T2</v>
      </c>
      <c r="E140" t="str">
        <v>Implementation</v>
      </c>
      <c r="F140" t="str">
        <v>MVP-P0</v>
      </c>
      <c r="G140" t="str">
        <v>CONFIRMED</v>
      </c>
      <c r="H140" t="str">
        <v>Product Engineer</v>
      </c>
      <c r="I140" t="str">
        <v>Product/UX</v>
      </c>
      <c r="J140">
        <v>3</v>
      </c>
      <c r="K140">
        <v>18</v>
      </c>
      <c r="L140">
        <v>2.6999999999999997</v>
      </c>
      <c r="M140">
        <v>20.7</v>
      </c>
      <c r="N140" t="str">
        <v>Not Started</v>
      </c>
    </row>
    <row r="141">
      <c r="A141" t="str">
        <v>184</v>
      </c>
      <c r="B141" t="str">
        <v>E06</v>
      </c>
      <c r="C141" t="str">
        <v>Tutorial &amp; Onboarding</v>
      </c>
      <c r="D141" t="str">
        <v>F06.1.T3</v>
      </c>
      <c r="E141" t="str">
        <v>Validation &amp; QA</v>
      </c>
      <c r="F141" t="str">
        <v>MVP-P0</v>
      </c>
      <c r="G141" t="str">
        <v>CONFIRMED</v>
      </c>
      <c r="H141" t="str">
        <v>QA Engineer</v>
      </c>
      <c r="I141" t="str">
        <v>Product/UX</v>
      </c>
      <c r="J141">
        <v>2</v>
      </c>
      <c r="K141">
        <v>12</v>
      </c>
      <c r="L141">
        <v>1.7999999999999998</v>
      </c>
      <c r="M141">
        <v>13.8</v>
      </c>
      <c r="N141" t="str">
        <v>Not Started</v>
      </c>
    </row>
    <row r="142">
      <c r="A142" t="str">
        <v>186</v>
      </c>
      <c r="B142" t="str">
        <v>E06</v>
      </c>
      <c r="C142" t="str">
        <v>Tutorial &amp; Onboarding</v>
      </c>
      <c r="D142" t="str">
        <v>F06.2.T1</v>
      </c>
      <c r="E142" t="str">
        <v>Analysis &amp; Design</v>
      </c>
      <c r="F142" t="str">
        <v>MVP-P0</v>
      </c>
      <c r="G142" t="str">
        <v>PROPOSED</v>
      </c>
      <c r="H142" t="str">
        <v>Game Engineer</v>
      </c>
      <c r="I142" t="str">
        <v>Product/UX</v>
      </c>
      <c r="J142">
        <v>3</v>
      </c>
      <c r="K142">
        <v>18</v>
      </c>
      <c r="L142">
        <v>2.6999999999999997</v>
      </c>
      <c r="M142">
        <v>20.7</v>
      </c>
      <c r="N142" t="str">
        <v>Not Started</v>
      </c>
    </row>
    <row r="143">
      <c r="A143" t="str">
        <v>187</v>
      </c>
      <c r="B143" t="str">
        <v>E06</v>
      </c>
      <c r="C143" t="str">
        <v>Tutorial &amp; Onboarding</v>
      </c>
      <c r="D143" t="str">
        <v>F06.2.T2</v>
      </c>
      <c r="E143" t="str">
        <v>Implementation</v>
      </c>
      <c r="F143" t="str">
        <v>MVP-P0</v>
      </c>
      <c r="G143" t="str">
        <v>PROPOSED</v>
      </c>
      <c r="H143" t="str">
        <v>Game Engineer</v>
      </c>
      <c r="I143" t="str">
        <v>Product/UX</v>
      </c>
      <c r="J143">
        <v>4</v>
      </c>
      <c r="K143">
        <v>24</v>
      </c>
      <c r="L143">
        <v>3.5999999999999996</v>
      </c>
      <c r="M143">
        <v>27.6</v>
      </c>
      <c r="N143" t="str">
        <v>Not Started</v>
      </c>
    </row>
    <row r="144">
      <c r="A144" t="str">
        <v>188</v>
      </c>
      <c r="B144" t="str">
        <v>E06</v>
      </c>
      <c r="C144" t="str">
        <v>Tutorial &amp; Onboarding</v>
      </c>
      <c r="D144" t="str">
        <v>F06.2.T3</v>
      </c>
      <c r="E144" t="str">
        <v>Validation &amp; QA</v>
      </c>
      <c r="F144" t="str">
        <v>MVP-P0</v>
      </c>
      <c r="G144" t="str">
        <v>PROPOSED</v>
      </c>
      <c r="H144" t="str">
        <v>QA Engineer</v>
      </c>
      <c r="I144" t="str">
        <v>Product/UX</v>
      </c>
      <c r="J144">
        <v>3</v>
      </c>
      <c r="K144">
        <v>18</v>
      </c>
      <c r="L144">
        <v>2.6999999999999997</v>
      </c>
      <c r="M144">
        <v>20.7</v>
      </c>
      <c r="N144" t="str">
        <v>Not Started</v>
      </c>
    </row>
    <row r="145">
      <c r="A145" t="str">
        <v>190</v>
      </c>
      <c r="B145" t="str">
        <v>E06</v>
      </c>
      <c r="C145" t="str">
        <v>Tutorial &amp; Onboarding</v>
      </c>
      <c r="D145" t="str">
        <v>F06.3.T1</v>
      </c>
      <c r="E145" t="str">
        <v>Analysis &amp; Design</v>
      </c>
      <c r="F145" t="str">
        <v>MVP-P0</v>
      </c>
      <c r="G145" t="str">
        <v>CONFIRMED</v>
      </c>
      <c r="H145" t="str">
        <v>Game Designer</v>
      </c>
      <c r="I145" t="str">
        <v>Product/UX</v>
      </c>
      <c r="J145">
        <v>3</v>
      </c>
      <c r="K145">
        <v>18</v>
      </c>
      <c r="L145">
        <v>2.6999999999999997</v>
      </c>
      <c r="M145">
        <v>20.7</v>
      </c>
      <c r="N145" t="str">
        <v>Not Started</v>
      </c>
    </row>
    <row r="146">
      <c r="A146" t="str">
        <v>191</v>
      </c>
      <c r="B146" t="str">
        <v>E06</v>
      </c>
      <c r="C146" t="str">
        <v>Tutorial &amp; Onboarding</v>
      </c>
      <c r="D146" t="str">
        <v>F06.3.T2</v>
      </c>
      <c r="E146" t="str">
        <v>Implementation</v>
      </c>
      <c r="F146" t="str">
        <v>MVP-P0</v>
      </c>
      <c r="G146" t="str">
        <v>CONFIRMED</v>
      </c>
      <c r="H146" t="str">
        <v>Game Designer</v>
      </c>
      <c r="I146" t="str">
        <v>Product/UX</v>
      </c>
      <c r="J146">
        <v>4</v>
      </c>
      <c r="K146">
        <v>24</v>
      </c>
      <c r="L146">
        <v>3.5999999999999996</v>
      </c>
      <c r="M146">
        <v>27.6</v>
      </c>
      <c r="N146" t="str">
        <v>Not Started</v>
      </c>
    </row>
    <row r="147">
      <c r="A147" t="str">
        <v>192</v>
      </c>
      <c r="B147" t="str">
        <v>E06</v>
      </c>
      <c r="C147" t="str">
        <v>Tutorial &amp; Onboarding</v>
      </c>
      <c r="D147" t="str">
        <v>F06.3.T3</v>
      </c>
      <c r="E147" t="str">
        <v>Validation &amp; QA</v>
      </c>
      <c r="F147" t="str">
        <v>MVP-P0</v>
      </c>
      <c r="G147" t="str">
        <v>CONFIRMED</v>
      </c>
      <c r="H147" t="str">
        <v>QA Engineer</v>
      </c>
      <c r="I147" t="str">
        <v>Product/UX</v>
      </c>
      <c r="J147">
        <v>3</v>
      </c>
      <c r="K147">
        <v>18</v>
      </c>
      <c r="L147">
        <v>2.6999999999999997</v>
      </c>
      <c r="M147">
        <v>20.7</v>
      </c>
      <c r="N147" t="str">
        <v>Not Started</v>
      </c>
    </row>
    <row r="148">
      <c r="A148" t="str">
        <v>194</v>
      </c>
      <c r="B148" t="str">
        <v>E06</v>
      </c>
      <c r="C148" t="str">
        <v>Tutorial &amp; Onboarding</v>
      </c>
      <c r="D148" t="str">
        <v>F06.4.T1</v>
      </c>
      <c r="E148" t="str">
        <v>Analysis &amp; Design</v>
      </c>
      <c r="F148" t="str">
        <v>MVP-P0</v>
      </c>
      <c r="G148" t="str">
        <v>CONFIRMED</v>
      </c>
      <c r="H148" t="str">
        <v>Game Designer</v>
      </c>
      <c r="I148" t="str">
        <v>Product/UX</v>
      </c>
      <c r="J148">
        <v>3</v>
      </c>
      <c r="K148">
        <v>18</v>
      </c>
      <c r="L148">
        <v>2.6999999999999997</v>
      </c>
      <c r="M148">
        <v>20.7</v>
      </c>
      <c r="N148" t="str">
        <v>Not Started</v>
      </c>
    </row>
    <row r="149">
      <c r="A149" t="str">
        <v>195</v>
      </c>
      <c r="B149" t="str">
        <v>E06</v>
      </c>
      <c r="C149" t="str">
        <v>Tutorial &amp; Onboarding</v>
      </c>
      <c r="D149" t="str">
        <v>F06.4.T2</v>
      </c>
      <c r="E149" t="str">
        <v>Implementation</v>
      </c>
      <c r="F149" t="str">
        <v>MVP-P0</v>
      </c>
      <c r="G149" t="str">
        <v>CONFIRMED</v>
      </c>
      <c r="H149" t="str">
        <v>Game Designer</v>
      </c>
      <c r="I149" t="str">
        <v>Product/UX</v>
      </c>
      <c r="J149">
        <v>4</v>
      </c>
      <c r="K149">
        <v>24</v>
      </c>
      <c r="L149">
        <v>3.5999999999999996</v>
      </c>
      <c r="M149">
        <v>27.6</v>
      </c>
      <c r="N149" t="str">
        <v>Not Started</v>
      </c>
    </row>
    <row r="150">
      <c r="A150" t="str">
        <v>196</v>
      </c>
      <c r="B150" t="str">
        <v>E06</v>
      </c>
      <c r="C150" t="str">
        <v>Tutorial &amp; Onboarding</v>
      </c>
      <c r="D150" t="str">
        <v>F06.4.T3</v>
      </c>
      <c r="E150" t="str">
        <v>Validation &amp; QA</v>
      </c>
      <c r="F150" t="str">
        <v>MVP-P0</v>
      </c>
      <c r="G150" t="str">
        <v>CONFIRMED</v>
      </c>
      <c r="H150" t="str">
        <v>QA Engineer</v>
      </c>
      <c r="I150" t="str">
        <v>Product/UX</v>
      </c>
      <c r="J150">
        <v>3</v>
      </c>
      <c r="K150">
        <v>18</v>
      </c>
      <c r="L150">
        <v>2.6999999999999997</v>
      </c>
      <c r="M150">
        <v>20.7</v>
      </c>
      <c r="N150" t="str">
        <v>Not Started</v>
      </c>
    </row>
    <row r="151">
      <c r="A151" t="str">
        <v>198</v>
      </c>
      <c r="B151" t="str">
        <v>E06</v>
      </c>
      <c r="C151" t="str">
        <v>Tutorial &amp; Onboarding</v>
      </c>
      <c r="D151" t="str">
        <v>F06.5.T1</v>
      </c>
      <c r="E151" t="str">
        <v>Analysis &amp; Design</v>
      </c>
      <c r="F151" t="str">
        <v>MVP-P0</v>
      </c>
      <c r="G151" t="str">
        <v>CONFIRMED</v>
      </c>
      <c r="H151" t="str">
        <v>Game Designer</v>
      </c>
      <c r="I151" t="str">
        <v>Product/UX</v>
      </c>
      <c r="J151">
        <v>3</v>
      </c>
      <c r="K151">
        <v>18</v>
      </c>
      <c r="L151">
        <v>2.6999999999999997</v>
      </c>
      <c r="M151">
        <v>20.7</v>
      </c>
      <c r="N151" t="str">
        <v>Not Started</v>
      </c>
    </row>
    <row r="152">
      <c r="A152" t="str">
        <v>199</v>
      </c>
      <c r="B152" t="str">
        <v>E06</v>
      </c>
      <c r="C152" t="str">
        <v>Tutorial &amp; Onboarding</v>
      </c>
      <c r="D152" t="str">
        <v>F06.5.T2</v>
      </c>
      <c r="E152" t="str">
        <v>Implementation</v>
      </c>
      <c r="F152" t="str">
        <v>MVP-P0</v>
      </c>
      <c r="G152" t="str">
        <v>CONFIRMED</v>
      </c>
      <c r="H152" t="str">
        <v>Game Designer</v>
      </c>
      <c r="I152" t="str">
        <v>Product/UX</v>
      </c>
      <c r="J152">
        <v>4</v>
      </c>
      <c r="K152">
        <v>24</v>
      </c>
      <c r="L152">
        <v>3.5999999999999996</v>
      </c>
      <c r="M152">
        <v>27.6</v>
      </c>
      <c r="N152" t="str">
        <v>Not Started</v>
      </c>
    </row>
    <row r="153">
      <c r="A153" t="str">
        <v>200</v>
      </c>
      <c r="B153" t="str">
        <v>E06</v>
      </c>
      <c r="C153" t="str">
        <v>Tutorial &amp; Onboarding</v>
      </c>
      <c r="D153" t="str">
        <v>F06.5.T3</v>
      </c>
      <c r="E153" t="str">
        <v>Validation &amp; QA</v>
      </c>
      <c r="F153" t="str">
        <v>MVP-P0</v>
      </c>
      <c r="G153" t="str">
        <v>CONFIRMED</v>
      </c>
      <c r="H153" t="str">
        <v>QA Engineer</v>
      </c>
      <c r="I153" t="str">
        <v>Product/UX</v>
      </c>
      <c r="J153">
        <v>3</v>
      </c>
      <c r="K153">
        <v>18</v>
      </c>
      <c r="L153">
        <v>2.6999999999999997</v>
      </c>
      <c r="M153">
        <v>20.7</v>
      </c>
      <c r="N153" t="str">
        <v>Not Started</v>
      </c>
    </row>
    <row r="154">
      <c r="A154" t="str">
        <v>202</v>
      </c>
      <c r="B154" t="str">
        <v>E06</v>
      </c>
      <c r="C154" t="str">
        <v>Tutorial &amp; Onboarding</v>
      </c>
      <c r="D154" t="str">
        <v>F06.6.T1</v>
      </c>
      <c r="E154" t="str">
        <v>Analysis &amp; Design</v>
      </c>
      <c r="F154" t="str">
        <v>MVP-P0</v>
      </c>
      <c r="G154" t="str">
        <v>CONFIRMED</v>
      </c>
      <c r="H154" t="str">
        <v>Game Designer</v>
      </c>
      <c r="I154" t="str">
        <v>Product/UX</v>
      </c>
      <c r="J154">
        <v>3</v>
      </c>
      <c r="K154">
        <v>18</v>
      </c>
      <c r="L154">
        <v>2.6999999999999997</v>
      </c>
      <c r="M154">
        <v>20.7</v>
      </c>
      <c r="N154" t="str">
        <v>Not Started</v>
      </c>
    </row>
    <row r="155">
      <c r="A155" t="str">
        <v>203</v>
      </c>
      <c r="B155" t="str">
        <v>E06</v>
      </c>
      <c r="C155" t="str">
        <v>Tutorial &amp; Onboarding</v>
      </c>
      <c r="D155" t="str">
        <v>F06.6.T2</v>
      </c>
      <c r="E155" t="str">
        <v>Implementation</v>
      </c>
      <c r="F155" t="str">
        <v>MVP-P0</v>
      </c>
      <c r="G155" t="str">
        <v>CONFIRMED</v>
      </c>
      <c r="H155" t="str">
        <v>Game Designer</v>
      </c>
      <c r="I155" t="str">
        <v>Product/UX</v>
      </c>
      <c r="J155">
        <v>4</v>
      </c>
      <c r="K155">
        <v>24</v>
      </c>
      <c r="L155">
        <v>3.5999999999999996</v>
      </c>
      <c r="M155">
        <v>27.6</v>
      </c>
      <c r="N155" t="str">
        <v>Not Started</v>
      </c>
    </row>
    <row r="156">
      <c r="A156" t="str">
        <v>204</v>
      </c>
      <c r="B156" t="str">
        <v>E06</v>
      </c>
      <c r="C156" t="str">
        <v>Tutorial &amp; Onboarding</v>
      </c>
      <c r="D156" t="str">
        <v>F06.6.T3</v>
      </c>
      <c r="E156" t="str">
        <v>Validation &amp; QA</v>
      </c>
      <c r="F156" t="str">
        <v>MVP-P0</v>
      </c>
      <c r="G156" t="str">
        <v>CONFIRMED</v>
      </c>
      <c r="H156" t="str">
        <v>QA Engineer</v>
      </c>
      <c r="I156" t="str">
        <v>Product/UX</v>
      </c>
      <c r="J156">
        <v>3</v>
      </c>
      <c r="K156">
        <v>18</v>
      </c>
      <c r="L156">
        <v>2.6999999999999997</v>
      </c>
      <c r="M156">
        <v>20.7</v>
      </c>
      <c r="N156" t="str">
        <v>Not Started</v>
      </c>
    </row>
    <row r="157">
      <c r="A157" t="str">
        <v>206</v>
      </c>
      <c r="B157" t="str">
        <v>E06</v>
      </c>
      <c r="C157" t="str">
        <v>Tutorial &amp; Onboarding</v>
      </c>
      <c r="D157" t="str">
        <v>F06.7.T1</v>
      </c>
      <c r="E157" t="str">
        <v>Analysis &amp; Design</v>
      </c>
      <c r="F157" t="str">
        <v>MVP-P0</v>
      </c>
      <c r="G157" t="str">
        <v>PROPOSED</v>
      </c>
      <c r="H157" t="str">
        <v>Analytics Engineer</v>
      </c>
      <c r="I157" t="str">
        <v>Product/UX</v>
      </c>
      <c r="J157">
        <v>2</v>
      </c>
      <c r="K157">
        <v>12</v>
      </c>
      <c r="L157">
        <v>1.7999999999999998</v>
      </c>
      <c r="M157">
        <v>13.8</v>
      </c>
      <c r="N157" t="str">
        <v>Not Started</v>
      </c>
    </row>
    <row r="158">
      <c r="A158" t="str">
        <v>207</v>
      </c>
      <c r="B158" t="str">
        <v>E06</v>
      </c>
      <c r="C158" t="str">
        <v>Tutorial &amp; Onboarding</v>
      </c>
      <c r="D158" t="str">
        <v>F06.7.T2</v>
      </c>
      <c r="E158" t="str">
        <v>Implementation</v>
      </c>
      <c r="F158" t="str">
        <v>MVP-P0</v>
      </c>
      <c r="G158" t="str">
        <v>PROPOSED</v>
      </c>
      <c r="H158" t="str">
        <v>Analytics Engineer</v>
      </c>
      <c r="I158" t="str">
        <v>Product/UX</v>
      </c>
      <c r="J158">
        <v>3</v>
      </c>
      <c r="K158">
        <v>18</v>
      </c>
      <c r="L158">
        <v>2.6999999999999997</v>
      </c>
      <c r="M158">
        <v>20.7</v>
      </c>
      <c r="N158" t="str">
        <v>Not Started</v>
      </c>
    </row>
    <row r="159">
      <c r="A159" t="str">
        <v>208</v>
      </c>
      <c r="B159" t="str">
        <v>E06</v>
      </c>
      <c r="C159" t="str">
        <v>Tutorial &amp; Onboarding</v>
      </c>
      <c r="D159" t="str">
        <v>F06.7.T3</v>
      </c>
      <c r="E159" t="str">
        <v>Validation &amp; QA</v>
      </c>
      <c r="F159" t="str">
        <v>MVP-P0</v>
      </c>
      <c r="G159" t="str">
        <v>PROPOSED</v>
      </c>
      <c r="H159" t="str">
        <v>QA Engineer</v>
      </c>
      <c r="I159" t="str">
        <v>Product/UX</v>
      </c>
      <c r="J159">
        <v>2</v>
      </c>
      <c r="K159">
        <v>12</v>
      </c>
      <c r="L159">
        <v>1.7999999999999998</v>
      </c>
      <c r="M159">
        <v>13.8</v>
      </c>
      <c r="N159" t="str">
        <v>Not Started</v>
      </c>
    </row>
    <row r="160">
      <c r="A160" t="str">
        <v>210</v>
      </c>
      <c r="B160" t="str">
        <v>E07</v>
      </c>
      <c r="C160" t="str">
        <v>Main Journey &amp; Chapters</v>
      </c>
      <c r="D160" t="str">
        <v>F07.1.T1</v>
      </c>
      <c r="E160" t="str">
        <v>Analysis &amp; Design</v>
      </c>
      <c r="F160" t="str">
        <v>MVP-P0</v>
      </c>
      <c r="G160" t="str">
        <v>CONFIRMED</v>
      </c>
      <c r="H160" t="str">
        <v>Product Engineer</v>
      </c>
      <c r="I160" t="str">
        <v>Product/Game Design</v>
      </c>
      <c r="J160">
        <v>3</v>
      </c>
      <c r="K160">
        <v>18</v>
      </c>
      <c r="L160">
        <v>2.6999999999999997</v>
      </c>
      <c r="M160">
        <v>20.7</v>
      </c>
      <c r="N160" t="str">
        <v>Not Started</v>
      </c>
    </row>
    <row r="161">
      <c r="A161" t="str">
        <v>211</v>
      </c>
      <c r="B161" t="str">
        <v>E07</v>
      </c>
      <c r="C161" t="str">
        <v>Main Journey &amp; Chapters</v>
      </c>
      <c r="D161" t="str">
        <v>F07.1.T2</v>
      </c>
      <c r="E161" t="str">
        <v>Implementation</v>
      </c>
      <c r="F161" t="str">
        <v>MVP-P0</v>
      </c>
      <c r="G161" t="str">
        <v>CONFIRMED</v>
      </c>
      <c r="H161" t="str">
        <v>Product Engineer</v>
      </c>
      <c r="I161" t="str">
        <v>Product/Game Design</v>
      </c>
      <c r="J161">
        <v>4</v>
      </c>
      <c r="K161">
        <v>24</v>
      </c>
      <c r="L161">
        <v>3.5999999999999996</v>
      </c>
      <c r="M161">
        <v>27.6</v>
      </c>
      <c r="N161" t="str">
        <v>Not Started</v>
      </c>
    </row>
    <row r="162">
      <c r="A162" t="str">
        <v>212</v>
      </c>
      <c r="B162" t="str">
        <v>E07</v>
      </c>
      <c r="C162" t="str">
        <v>Main Journey &amp; Chapters</v>
      </c>
      <c r="D162" t="str">
        <v>F07.1.T3</v>
      </c>
      <c r="E162" t="str">
        <v>Validation &amp; QA</v>
      </c>
      <c r="F162" t="str">
        <v>MVP-P0</v>
      </c>
      <c r="G162" t="str">
        <v>CONFIRMED</v>
      </c>
      <c r="H162" t="str">
        <v>QA Engineer</v>
      </c>
      <c r="I162" t="str">
        <v>Product/Game Design</v>
      </c>
      <c r="J162">
        <v>3</v>
      </c>
      <c r="K162">
        <v>18</v>
      </c>
      <c r="L162">
        <v>2.6999999999999997</v>
      </c>
      <c r="M162">
        <v>20.7</v>
      </c>
      <c r="N162" t="str">
        <v>Not Started</v>
      </c>
    </row>
    <row r="163">
      <c r="A163" t="str">
        <v>214</v>
      </c>
      <c r="B163" t="str">
        <v>E07</v>
      </c>
      <c r="C163" t="str">
        <v>Main Journey &amp; Chapters</v>
      </c>
      <c r="D163" t="str">
        <v>F07.2.T1</v>
      </c>
      <c r="E163" t="str">
        <v>Analysis &amp; Design</v>
      </c>
      <c r="F163" t="str">
        <v>MVP-P0</v>
      </c>
      <c r="G163" t="str">
        <v>CONFIRMED</v>
      </c>
      <c r="H163" t="str">
        <v>Product Engineer</v>
      </c>
      <c r="I163" t="str">
        <v>Product/Game Design</v>
      </c>
      <c r="J163">
        <v>2</v>
      </c>
      <c r="K163">
        <v>12</v>
      </c>
      <c r="L163">
        <v>1.7999999999999998</v>
      </c>
      <c r="M163">
        <v>13.8</v>
      </c>
      <c r="N163" t="str">
        <v>Not Started</v>
      </c>
    </row>
    <row r="164">
      <c r="A164" t="str">
        <v>215</v>
      </c>
      <c r="B164" t="str">
        <v>E07</v>
      </c>
      <c r="C164" t="str">
        <v>Main Journey &amp; Chapters</v>
      </c>
      <c r="D164" t="str">
        <v>F07.2.T2</v>
      </c>
      <c r="E164" t="str">
        <v>Implementation</v>
      </c>
      <c r="F164" t="str">
        <v>MVP-P0</v>
      </c>
      <c r="G164" t="str">
        <v>CONFIRMED</v>
      </c>
      <c r="H164" t="str">
        <v>Product Engineer</v>
      </c>
      <c r="I164" t="str">
        <v>Product/Game Design</v>
      </c>
      <c r="J164">
        <v>3</v>
      </c>
      <c r="K164">
        <v>18</v>
      </c>
      <c r="L164">
        <v>2.6999999999999997</v>
      </c>
      <c r="M164">
        <v>20.7</v>
      </c>
      <c r="N164" t="str">
        <v>Not Started</v>
      </c>
    </row>
    <row r="165">
      <c r="A165" t="str">
        <v>216</v>
      </c>
      <c r="B165" t="str">
        <v>E07</v>
      </c>
      <c r="C165" t="str">
        <v>Main Journey &amp; Chapters</v>
      </c>
      <c r="D165" t="str">
        <v>F07.2.T3</v>
      </c>
      <c r="E165" t="str">
        <v>Validation &amp; QA</v>
      </c>
      <c r="F165" t="str">
        <v>MVP-P0</v>
      </c>
      <c r="G165" t="str">
        <v>CONFIRMED</v>
      </c>
      <c r="H165" t="str">
        <v>QA Engineer</v>
      </c>
      <c r="I165" t="str">
        <v>Product/Game Design</v>
      </c>
      <c r="J165">
        <v>2</v>
      </c>
      <c r="K165">
        <v>12</v>
      </c>
      <c r="L165">
        <v>1.7999999999999998</v>
      </c>
      <c r="M165">
        <v>13.8</v>
      </c>
      <c r="N165" t="str">
        <v>Not Started</v>
      </c>
    </row>
    <row r="166">
      <c r="A166" t="str">
        <v>218</v>
      </c>
      <c r="B166" t="str">
        <v>E07</v>
      </c>
      <c r="C166" t="str">
        <v>Main Journey &amp; Chapters</v>
      </c>
      <c r="D166" t="str">
        <v>F07.3.T1</v>
      </c>
      <c r="E166" t="str">
        <v>Analysis &amp; Design</v>
      </c>
      <c r="F166" t="str">
        <v>MVP-P0</v>
      </c>
      <c r="G166" t="str">
        <v>CONFIRMED</v>
      </c>
      <c r="H166" t="str">
        <v>Product Engineer</v>
      </c>
      <c r="I166" t="str">
        <v>Product/Game Design</v>
      </c>
      <c r="J166">
        <v>3</v>
      </c>
      <c r="K166">
        <v>18</v>
      </c>
      <c r="L166">
        <v>2.6999999999999997</v>
      </c>
      <c r="M166">
        <v>20.7</v>
      </c>
      <c r="N166" t="str">
        <v>Not Started</v>
      </c>
    </row>
    <row r="167">
      <c r="A167" t="str">
        <v>219</v>
      </c>
      <c r="B167" t="str">
        <v>E07</v>
      </c>
      <c r="C167" t="str">
        <v>Main Journey &amp; Chapters</v>
      </c>
      <c r="D167" t="str">
        <v>F07.3.T2</v>
      </c>
      <c r="E167" t="str">
        <v>Implementation</v>
      </c>
      <c r="F167" t="str">
        <v>MVP-P0</v>
      </c>
      <c r="G167" t="str">
        <v>CONFIRMED</v>
      </c>
      <c r="H167" t="str">
        <v>Product Engineer</v>
      </c>
      <c r="I167" t="str">
        <v>Product/Game Design</v>
      </c>
      <c r="J167">
        <v>4</v>
      </c>
      <c r="K167">
        <v>24</v>
      </c>
      <c r="L167">
        <v>3.5999999999999996</v>
      </c>
      <c r="M167">
        <v>27.6</v>
      </c>
      <c r="N167" t="str">
        <v>Not Started</v>
      </c>
    </row>
    <row r="168">
      <c r="A168" t="str">
        <v>220</v>
      </c>
      <c r="B168" t="str">
        <v>E07</v>
      </c>
      <c r="C168" t="str">
        <v>Main Journey &amp; Chapters</v>
      </c>
      <c r="D168" t="str">
        <v>F07.3.T3</v>
      </c>
      <c r="E168" t="str">
        <v>Validation &amp; QA</v>
      </c>
      <c r="F168" t="str">
        <v>MVP-P0</v>
      </c>
      <c r="G168" t="str">
        <v>CONFIRMED</v>
      </c>
      <c r="H168" t="str">
        <v>QA Engineer</v>
      </c>
      <c r="I168" t="str">
        <v>Product/Game Design</v>
      </c>
      <c r="J168">
        <v>3</v>
      </c>
      <c r="K168">
        <v>18</v>
      </c>
      <c r="L168">
        <v>2.6999999999999997</v>
      </c>
      <c r="M168">
        <v>20.7</v>
      </c>
      <c r="N168" t="str">
        <v>Not Started</v>
      </c>
    </row>
    <row r="169">
      <c r="A169" t="str">
        <v>222</v>
      </c>
      <c r="B169" t="str">
        <v>E07</v>
      </c>
      <c r="C169" t="str">
        <v>Main Journey &amp; Chapters</v>
      </c>
      <c r="D169" t="str">
        <v>F07.4.T1</v>
      </c>
      <c r="E169" t="str">
        <v>Analysis &amp; Design</v>
      </c>
      <c r="F169" t="str">
        <v>MVP-P0</v>
      </c>
      <c r="G169" t="str">
        <v>CONFIRMED</v>
      </c>
      <c r="H169" t="str">
        <v>Product Engineer</v>
      </c>
      <c r="I169" t="str">
        <v>Product/Game Design</v>
      </c>
      <c r="J169">
        <v>3</v>
      </c>
      <c r="K169">
        <v>18</v>
      </c>
      <c r="L169">
        <v>2.6999999999999997</v>
      </c>
      <c r="M169">
        <v>20.7</v>
      </c>
      <c r="N169" t="str">
        <v>Not Started</v>
      </c>
    </row>
    <row r="170">
      <c r="A170" t="str">
        <v>223</v>
      </c>
      <c r="B170" t="str">
        <v>E07</v>
      </c>
      <c r="C170" t="str">
        <v>Main Journey &amp; Chapters</v>
      </c>
      <c r="D170" t="str">
        <v>F07.4.T2</v>
      </c>
      <c r="E170" t="str">
        <v>Implementation</v>
      </c>
      <c r="F170" t="str">
        <v>MVP-P0</v>
      </c>
      <c r="G170" t="str">
        <v>CONFIRMED</v>
      </c>
      <c r="H170" t="str">
        <v>Product Engineer</v>
      </c>
      <c r="I170" t="str">
        <v>Product/Game Design</v>
      </c>
      <c r="J170">
        <v>4</v>
      </c>
      <c r="K170">
        <v>24</v>
      </c>
      <c r="L170">
        <v>3.5999999999999996</v>
      </c>
      <c r="M170">
        <v>27.6</v>
      </c>
      <c r="N170" t="str">
        <v>Not Started</v>
      </c>
    </row>
    <row r="171">
      <c r="A171" t="str">
        <v>224</v>
      </c>
      <c r="B171" t="str">
        <v>E07</v>
      </c>
      <c r="C171" t="str">
        <v>Main Journey &amp; Chapters</v>
      </c>
      <c r="D171" t="str">
        <v>F07.4.T3</v>
      </c>
      <c r="E171" t="str">
        <v>Validation &amp; QA</v>
      </c>
      <c r="F171" t="str">
        <v>MVP-P0</v>
      </c>
      <c r="G171" t="str">
        <v>CONFIRMED</v>
      </c>
      <c r="H171" t="str">
        <v>QA Engineer</v>
      </c>
      <c r="I171" t="str">
        <v>Product/Game Design</v>
      </c>
      <c r="J171">
        <v>3</v>
      </c>
      <c r="K171">
        <v>18</v>
      </c>
      <c r="L171">
        <v>2.6999999999999997</v>
      </c>
      <c r="M171">
        <v>20.7</v>
      </c>
      <c r="N171" t="str">
        <v>Not Started</v>
      </c>
    </row>
    <row r="172">
      <c r="A172" t="str">
        <v>226</v>
      </c>
      <c r="B172" t="str">
        <v>E07</v>
      </c>
      <c r="C172" t="str">
        <v>Main Journey &amp; Chapters</v>
      </c>
      <c r="D172" t="str">
        <v>F07.5.T1</v>
      </c>
      <c r="E172" t="str">
        <v>Analysis &amp; Design</v>
      </c>
      <c r="F172" t="str">
        <v>MVP-P0</v>
      </c>
      <c r="G172" t="str">
        <v>CONFIRMED</v>
      </c>
      <c r="H172" t="str">
        <v>Product Engineer</v>
      </c>
      <c r="I172" t="str">
        <v>Product/Game Design</v>
      </c>
      <c r="J172">
        <v>3</v>
      </c>
      <c r="K172">
        <v>18</v>
      </c>
      <c r="L172">
        <v>2.6999999999999997</v>
      </c>
      <c r="M172">
        <v>20.7</v>
      </c>
      <c r="N172" t="str">
        <v>Not Started</v>
      </c>
    </row>
    <row r="173">
      <c r="A173" t="str">
        <v>227</v>
      </c>
      <c r="B173" t="str">
        <v>E07</v>
      </c>
      <c r="C173" t="str">
        <v>Main Journey &amp; Chapters</v>
      </c>
      <c r="D173" t="str">
        <v>F07.5.T2</v>
      </c>
      <c r="E173" t="str">
        <v>Implementation</v>
      </c>
      <c r="F173" t="str">
        <v>MVP-P0</v>
      </c>
      <c r="G173" t="str">
        <v>CONFIRMED</v>
      </c>
      <c r="H173" t="str">
        <v>Product Engineer</v>
      </c>
      <c r="I173" t="str">
        <v>Product/Game Design</v>
      </c>
      <c r="J173">
        <v>4</v>
      </c>
      <c r="K173">
        <v>24</v>
      </c>
      <c r="L173">
        <v>3.5999999999999996</v>
      </c>
      <c r="M173">
        <v>27.6</v>
      </c>
      <c r="N173" t="str">
        <v>Not Started</v>
      </c>
    </row>
    <row r="174">
      <c r="A174" t="str">
        <v>228</v>
      </c>
      <c r="B174" t="str">
        <v>E07</v>
      </c>
      <c r="C174" t="str">
        <v>Main Journey &amp; Chapters</v>
      </c>
      <c r="D174" t="str">
        <v>F07.5.T3</v>
      </c>
      <c r="E174" t="str">
        <v>Validation &amp; QA</v>
      </c>
      <c r="F174" t="str">
        <v>MVP-P0</v>
      </c>
      <c r="G174" t="str">
        <v>CONFIRMED</v>
      </c>
      <c r="H174" t="str">
        <v>QA Engineer</v>
      </c>
      <c r="I174" t="str">
        <v>Product/Game Design</v>
      </c>
      <c r="J174">
        <v>3</v>
      </c>
      <c r="K174">
        <v>18</v>
      </c>
      <c r="L174">
        <v>2.6999999999999997</v>
      </c>
      <c r="M174">
        <v>20.7</v>
      </c>
      <c r="N174" t="str">
        <v>Not Started</v>
      </c>
    </row>
    <row r="175">
      <c r="A175" t="str">
        <v>230</v>
      </c>
      <c r="B175" t="str">
        <v>E07</v>
      </c>
      <c r="C175" t="str">
        <v>Main Journey &amp; Chapters</v>
      </c>
      <c r="D175" t="str">
        <v>F07.6.T1</v>
      </c>
      <c r="E175" t="str">
        <v>Analysis &amp; Design</v>
      </c>
      <c r="F175" t="str">
        <v>MVP-P0</v>
      </c>
      <c r="G175" t="str">
        <v>CONFIRMED CONCEPT</v>
      </c>
      <c r="H175" t="str">
        <v>Game Designer</v>
      </c>
      <c r="I175" t="str">
        <v>Product/Game Design</v>
      </c>
      <c r="J175">
        <v>3</v>
      </c>
      <c r="K175">
        <v>18</v>
      </c>
      <c r="L175">
        <v>2.6999999999999997</v>
      </c>
      <c r="M175">
        <v>20.7</v>
      </c>
      <c r="N175" t="str">
        <v>Not Started</v>
      </c>
    </row>
    <row r="176">
      <c r="A176" t="str">
        <v>231</v>
      </c>
      <c r="B176" t="str">
        <v>E07</v>
      </c>
      <c r="C176" t="str">
        <v>Main Journey &amp; Chapters</v>
      </c>
      <c r="D176" t="str">
        <v>F07.6.T2</v>
      </c>
      <c r="E176" t="str">
        <v>Implementation</v>
      </c>
      <c r="F176" t="str">
        <v>MVP-P0</v>
      </c>
      <c r="G176" t="str">
        <v>CONFIRMED CONCEPT</v>
      </c>
      <c r="H176" t="str">
        <v>Game Designer</v>
      </c>
      <c r="I176" t="str">
        <v>Product/Game Design</v>
      </c>
      <c r="J176">
        <v>4</v>
      </c>
      <c r="K176">
        <v>24</v>
      </c>
      <c r="L176">
        <v>3.5999999999999996</v>
      </c>
      <c r="M176">
        <v>27.6</v>
      </c>
      <c r="N176" t="str">
        <v>Not Started</v>
      </c>
    </row>
    <row r="177">
      <c r="A177" t="str">
        <v>232</v>
      </c>
      <c r="B177" t="str">
        <v>E07</v>
      </c>
      <c r="C177" t="str">
        <v>Main Journey &amp; Chapters</v>
      </c>
      <c r="D177" t="str">
        <v>F07.6.T3</v>
      </c>
      <c r="E177" t="str">
        <v>Validation &amp; QA</v>
      </c>
      <c r="F177" t="str">
        <v>MVP-P0</v>
      </c>
      <c r="G177" t="str">
        <v>CONFIRMED CONCEPT</v>
      </c>
      <c r="H177" t="str">
        <v>QA Engineer</v>
      </c>
      <c r="I177" t="str">
        <v>Product/Game Design</v>
      </c>
      <c r="J177">
        <v>3</v>
      </c>
      <c r="K177">
        <v>18</v>
      </c>
      <c r="L177">
        <v>2.6999999999999997</v>
      </c>
      <c r="M177">
        <v>20.7</v>
      </c>
      <c r="N177" t="str">
        <v>Not Started</v>
      </c>
    </row>
    <row r="178">
      <c r="A178" t="str">
        <v>234</v>
      </c>
      <c r="B178" t="str">
        <v>E07</v>
      </c>
      <c r="C178" t="str">
        <v>Main Journey &amp; Chapters</v>
      </c>
      <c r="D178" t="str">
        <v>F07.7.T1</v>
      </c>
      <c r="E178" t="str">
        <v>Analysis &amp; Design</v>
      </c>
      <c r="F178" t="str">
        <v>MVP-P0</v>
      </c>
      <c r="G178" t="str">
        <v>PROPOSED UX</v>
      </c>
      <c r="H178" t="str">
        <v>UI Engineer</v>
      </c>
      <c r="I178" t="str">
        <v>Product/Game Design</v>
      </c>
      <c r="J178">
        <v>5</v>
      </c>
      <c r="K178">
        <v>30</v>
      </c>
      <c r="L178">
        <v>4.5</v>
      </c>
      <c r="M178">
        <v>34.5</v>
      </c>
      <c r="N178" t="str">
        <v>Not Started</v>
      </c>
    </row>
    <row r="179">
      <c r="A179" t="str">
        <v>235</v>
      </c>
      <c r="B179" t="str">
        <v>E07</v>
      </c>
      <c r="C179" t="str">
        <v>Main Journey &amp; Chapters</v>
      </c>
      <c r="D179" t="str">
        <v>F07.7.T2</v>
      </c>
      <c r="E179" t="str">
        <v>Implementation</v>
      </c>
      <c r="F179" t="str">
        <v>MVP-P0</v>
      </c>
      <c r="G179" t="str">
        <v>PROPOSED UX</v>
      </c>
      <c r="H179" t="str">
        <v>UI Engineer</v>
      </c>
      <c r="I179" t="str">
        <v>Product/Game Design</v>
      </c>
      <c r="J179">
        <v>7</v>
      </c>
      <c r="K179">
        <v>42</v>
      </c>
      <c r="L179">
        <v>6.3</v>
      </c>
      <c r="M179">
        <v>48.3</v>
      </c>
      <c r="N179" t="str">
        <v>Not Started</v>
      </c>
    </row>
    <row r="180">
      <c r="A180" t="str">
        <v>236</v>
      </c>
      <c r="B180" t="str">
        <v>E07</v>
      </c>
      <c r="C180" t="str">
        <v>Main Journey &amp; Chapters</v>
      </c>
      <c r="D180" t="str">
        <v>F07.7.T3</v>
      </c>
      <c r="E180" t="str">
        <v>Validation &amp; QA</v>
      </c>
      <c r="F180" t="str">
        <v>MVP-P0</v>
      </c>
      <c r="G180" t="str">
        <v>PROPOSED UX</v>
      </c>
      <c r="H180" t="str">
        <v>QA Engineer</v>
      </c>
      <c r="I180" t="str">
        <v>Product/Game Design</v>
      </c>
      <c r="J180">
        <v>5</v>
      </c>
      <c r="K180">
        <v>30</v>
      </c>
      <c r="L180">
        <v>4.5</v>
      </c>
      <c r="M180">
        <v>34.5</v>
      </c>
      <c r="N180" t="str">
        <v>Not Started</v>
      </c>
    </row>
    <row r="181">
      <c r="A181" t="str">
        <v>238</v>
      </c>
      <c r="B181" t="str">
        <v>E08</v>
      </c>
      <c r="C181" t="str">
        <v>Economy &amp; Rewards</v>
      </c>
      <c r="D181" t="str">
        <v>F08.1.T1</v>
      </c>
      <c r="E181" t="str">
        <v>Analysis &amp; Design</v>
      </c>
      <c r="F181" t="str">
        <v>MVP-P0</v>
      </c>
      <c r="G181" t="str">
        <v>CONFIRMED</v>
      </c>
      <c r="H181" t="str">
        <v>Backend Engineer</v>
      </c>
      <c r="I181" t="str">
        <v>Product/Backend</v>
      </c>
      <c r="J181">
        <v>3</v>
      </c>
      <c r="K181">
        <v>18</v>
      </c>
      <c r="L181">
        <v>2.6999999999999997</v>
      </c>
      <c r="M181">
        <v>20.7</v>
      </c>
      <c r="N181" t="str">
        <v>Not Started</v>
      </c>
    </row>
    <row r="182">
      <c r="A182" t="str">
        <v>239</v>
      </c>
      <c r="B182" t="str">
        <v>E08</v>
      </c>
      <c r="C182" t="str">
        <v>Economy &amp; Rewards</v>
      </c>
      <c r="D182" t="str">
        <v>F08.1.T2</v>
      </c>
      <c r="E182" t="str">
        <v>Implementation</v>
      </c>
      <c r="F182" t="str">
        <v>MVP-P0</v>
      </c>
      <c r="G182" t="str">
        <v>CONFIRMED</v>
      </c>
      <c r="H182" t="str">
        <v>Backend Engineer</v>
      </c>
      <c r="I182" t="str">
        <v>Product/Backend</v>
      </c>
      <c r="J182">
        <v>4</v>
      </c>
      <c r="K182">
        <v>24</v>
      </c>
      <c r="L182">
        <v>3.5999999999999996</v>
      </c>
      <c r="M182">
        <v>27.6</v>
      </c>
      <c r="N182" t="str">
        <v>Not Started</v>
      </c>
    </row>
    <row r="183">
      <c r="A183" t="str">
        <v>240</v>
      </c>
      <c r="B183" t="str">
        <v>E08</v>
      </c>
      <c r="C183" t="str">
        <v>Economy &amp; Rewards</v>
      </c>
      <c r="D183" t="str">
        <v>F08.1.T3</v>
      </c>
      <c r="E183" t="str">
        <v>Validation &amp; QA</v>
      </c>
      <c r="F183" t="str">
        <v>MVP-P0</v>
      </c>
      <c r="G183" t="str">
        <v>CONFIRMED</v>
      </c>
      <c r="H183" t="str">
        <v>QA Engineer</v>
      </c>
      <c r="I183" t="str">
        <v>Product/Backend</v>
      </c>
      <c r="J183">
        <v>3</v>
      </c>
      <c r="K183">
        <v>18</v>
      </c>
      <c r="L183">
        <v>2.6999999999999997</v>
      </c>
      <c r="M183">
        <v>20.7</v>
      </c>
      <c r="N183" t="str">
        <v>Not Started</v>
      </c>
    </row>
    <row r="184">
      <c r="A184" t="str">
        <v>242</v>
      </c>
      <c r="B184" t="str">
        <v>E08</v>
      </c>
      <c r="C184" t="str">
        <v>Economy &amp; Rewards</v>
      </c>
      <c r="D184" t="str">
        <v>F08.2.T1</v>
      </c>
      <c r="E184" t="str">
        <v>Analysis &amp; Design</v>
      </c>
      <c r="F184" t="str">
        <v>MVP-P0</v>
      </c>
      <c r="G184" t="str">
        <v>CONFIRMED</v>
      </c>
      <c r="H184" t="str">
        <v>Game/Backend Engineer</v>
      </c>
      <c r="I184" t="str">
        <v>Product/Backend</v>
      </c>
      <c r="J184">
        <v>2</v>
      </c>
      <c r="K184">
        <v>12</v>
      </c>
      <c r="L184">
        <v>1.7999999999999998</v>
      </c>
      <c r="M184">
        <v>13.8</v>
      </c>
      <c r="N184" t="str">
        <v>Not Started</v>
      </c>
    </row>
    <row r="185">
      <c r="A185" t="str">
        <v>243</v>
      </c>
      <c r="B185" t="str">
        <v>E08</v>
      </c>
      <c r="C185" t="str">
        <v>Economy &amp; Rewards</v>
      </c>
      <c r="D185" t="str">
        <v>F08.2.T2</v>
      </c>
      <c r="E185" t="str">
        <v>Implementation</v>
      </c>
      <c r="F185" t="str">
        <v>MVP-P0</v>
      </c>
      <c r="G185" t="str">
        <v>CONFIRMED</v>
      </c>
      <c r="H185" t="str">
        <v>Game/Backend Engineer</v>
      </c>
      <c r="I185" t="str">
        <v>Product/Backend</v>
      </c>
      <c r="J185">
        <v>3</v>
      </c>
      <c r="K185">
        <v>18</v>
      </c>
      <c r="L185">
        <v>2.6999999999999997</v>
      </c>
      <c r="M185">
        <v>20.7</v>
      </c>
      <c r="N185" t="str">
        <v>Not Started</v>
      </c>
    </row>
    <row r="186">
      <c r="A186" t="str">
        <v>244</v>
      </c>
      <c r="B186" t="str">
        <v>E08</v>
      </c>
      <c r="C186" t="str">
        <v>Economy &amp; Rewards</v>
      </c>
      <c r="D186" t="str">
        <v>F08.2.T3</v>
      </c>
      <c r="E186" t="str">
        <v>Validation &amp; QA</v>
      </c>
      <c r="F186" t="str">
        <v>MVP-P0</v>
      </c>
      <c r="G186" t="str">
        <v>CONFIRMED</v>
      </c>
      <c r="H186" t="str">
        <v>QA Engineer</v>
      </c>
      <c r="I186" t="str">
        <v>Product/Backend</v>
      </c>
      <c r="J186">
        <v>2</v>
      </c>
      <c r="K186">
        <v>12</v>
      </c>
      <c r="L186">
        <v>1.7999999999999998</v>
      </c>
      <c r="M186">
        <v>13.8</v>
      </c>
      <c r="N186" t="str">
        <v>Not Started</v>
      </c>
    </row>
    <row r="187">
      <c r="A187" t="str">
        <v>246</v>
      </c>
      <c r="B187" t="str">
        <v>E08</v>
      </c>
      <c r="C187" t="str">
        <v>Economy &amp; Rewards</v>
      </c>
      <c r="D187" t="str">
        <v>F08.3.T1</v>
      </c>
      <c r="E187" t="str">
        <v>Analysis &amp; Design</v>
      </c>
      <c r="F187" t="str">
        <v>MVP-P0</v>
      </c>
      <c r="G187" t="str">
        <v>CONFIRMED</v>
      </c>
      <c r="H187" t="str">
        <v>Backend Engineer</v>
      </c>
      <c r="I187" t="str">
        <v>Product/Backend</v>
      </c>
      <c r="J187">
        <v>2</v>
      </c>
      <c r="K187">
        <v>12</v>
      </c>
      <c r="L187">
        <v>1.7999999999999998</v>
      </c>
      <c r="M187">
        <v>13.8</v>
      </c>
      <c r="N187" t="str">
        <v>Not Started</v>
      </c>
    </row>
    <row r="188">
      <c r="A188" t="str">
        <v>247</v>
      </c>
      <c r="B188" t="str">
        <v>E08</v>
      </c>
      <c r="C188" t="str">
        <v>Economy &amp; Rewards</v>
      </c>
      <c r="D188" t="str">
        <v>F08.3.T2</v>
      </c>
      <c r="E188" t="str">
        <v>Implementation</v>
      </c>
      <c r="F188" t="str">
        <v>MVP-P0</v>
      </c>
      <c r="G188" t="str">
        <v>CONFIRMED</v>
      </c>
      <c r="H188" t="str">
        <v>Backend Engineer</v>
      </c>
      <c r="I188" t="str">
        <v>Product/Backend</v>
      </c>
      <c r="J188">
        <v>3</v>
      </c>
      <c r="K188">
        <v>18</v>
      </c>
      <c r="L188">
        <v>2.6999999999999997</v>
      </c>
      <c r="M188">
        <v>20.7</v>
      </c>
      <c r="N188" t="str">
        <v>Not Started</v>
      </c>
    </row>
    <row r="189">
      <c r="A189" t="str">
        <v>248</v>
      </c>
      <c r="B189" t="str">
        <v>E08</v>
      </c>
      <c r="C189" t="str">
        <v>Economy &amp; Rewards</v>
      </c>
      <c r="D189" t="str">
        <v>F08.3.T3</v>
      </c>
      <c r="E189" t="str">
        <v>Validation &amp; QA</v>
      </c>
      <c r="F189" t="str">
        <v>MVP-P0</v>
      </c>
      <c r="G189" t="str">
        <v>CONFIRMED</v>
      </c>
      <c r="H189" t="str">
        <v>QA Engineer</v>
      </c>
      <c r="I189" t="str">
        <v>Product/Backend</v>
      </c>
      <c r="J189">
        <v>2</v>
      </c>
      <c r="K189">
        <v>12</v>
      </c>
      <c r="L189">
        <v>1.7999999999999998</v>
      </c>
      <c r="M189">
        <v>13.8</v>
      </c>
      <c r="N189" t="str">
        <v>Not Started</v>
      </c>
    </row>
    <row r="190">
      <c r="A190" t="str">
        <v>250</v>
      </c>
      <c r="B190" t="str">
        <v>E08</v>
      </c>
      <c r="C190" t="str">
        <v>Economy &amp; Rewards</v>
      </c>
      <c r="D190" t="str">
        <v>F08.4.T1</v>
      </c>
      <c r="E190" t="str">
        <v>Analysis &amp; Design</v>
      </c>
      <c r="F190" t="str">
        <v>MVP-P0</v>
      </c>
      <c r="G190" t="str">
        <v>PROPOSED ARCH</v>
      </c>
      <c r="H190" t="str">
        <v>Backend Engineer</v>
      </c>
      <c r="I190" t="str">
        <v>Product/Backend</v>
      </c>
      <c r="J190">
        <v>3</v>
      </c>
      <c r="K190">
        <v>18</v>
      </c>
      <c r="L190">
        <v>2.6999999999999997</v>
      </c>
      <c r="M190">
        <v>20.7</v>
      </c>
      <c r="N190" t="str">
        <v>Not Started</v>
      </c>
    </row>
    <row r="191">
      <c r="A191" t="str">
        <v>251</v>
      </c>
      <c r="B191" t="str">
        <v>E08</v>
      </c>
      <c r="C191" t="str">
        <v>Economy &amp; Rewards</v>
      </c>
      <c r="D191" t="str">
        <v>F08.4.T2</v>
      </c>
      <c r="E191" t="str">
        <v>Implementation</v>
      </c>
      <c r="F191" t="str">
        <v>MVP-P0</v>
      </c>
      <c r="G191" t="str">
        <v>PROPOSED ARCH</v>
      </c>
      <c r="H191" t="str">
        <v>Backend Engineer</v>
      </c>
      <c r="I191" t="str">
        <v>Product/Backend</v>
      </c>
      <c r="J191">
        <v>4</v>
      </c>
      <c r="K191">
        <v>24</v>
      </c>
      <c r="L191">
        <v>3.5999999999999996</v>
      </c>
      <c r="M191">
        <v>27.6</v>
      </c>
      <c r="N191" t="str">
        <v>Not Started</v>
      </c>
    </row>
    <row r="192">
      <c r="A192" t="str">
        <v>252</v>
      </c>
      <c r="B192" t="str">
        <v>E08</v>
      </c>
      <c r="C192" t="str">
        <v>Economy &amp; Rewards</v>
      </c>
      <c r="D192" t="str">
        <v>F08.4.T3</v>
      </c>
      <c r="E192" t="str">
        <v>Validation &amp; QA</v>
      </c>
      <c r="F192" t="str">
        <v>MVP-P0</v>
      </c>
      <c r="G192" t="str">
        <v>PROPOSED ARCH</v>
      </c>
      <c r="H192" t="str">
        <v>QA Engineer</v>
      </c>
      <c r="I192" t="str">
        <v>Product/Backend</v>
      </c>
      <c r="J192">
        <v>3</v>
      </c>
      <c r="K192">
        <v>18</v>
      </c>
      <c r="L192">
        <v>2.6999999999999997</v>
      </c>
      <c r="M192">
        <v>20.7</v>
      </c>
      <c r="N192" t="str">
        <v>Not Started</v>
      </c>
    </row>
    <row r="193">
      <c r="A193" t="str">
        <v>254</v>
      </c>
      <c r="B193" t="str">
        <v>E08</v>
      </c>
      <c r="C193" t="str">
        <v>Economy &amp; Rewards</v>
      </c>
      <c r="D193" t="str">
        <v>F08.5.T1</v>
      </c>
      <c r="E193" t="str">
        <v>Analysis &amp; Design</v>
      </c>
      <c r="F193" t="str">
        <v>MVP-P0</v>
      </c>
      <c r="G193" t="str">
        <v>PROPOSED</v>
      </c>
      <c r="H193" t="str">
        <v>Backend Engineer</v>
      </c>
      <c r="I193" t="str">
        <v>Product/Backend</v>
      </c>
      <c r="J193">
        <v>3</v>
      </c>
      <c r="K193">
        <v>18</v>
      </c>
      <c r="L193">
        <v>2.6999999999999997</v>
      </c>
      <c r="M193">
        <v>20.7</v>
      </c>
      <c r="N193" t="str">
        <v>Not Started</v>
      </c>
    </row>
    <row r="194">
      <c r="A194" t="str">
        <v>255</v>
      </c>
      <c r="B194" t="str">
        <v>E08</v>
      </c>
      <c r="C194" t="str">
        <v>Economy &amp; Rewards</v>
      </c>
      <c r="D194" t="str">
        <v>F08.5.T2</v>
      </c>
      <c r="E194" t="str">
        <v>Implementation</v>
      </c>
      <c r="F194" t="str">
        <v>MVP-P0</v>
      </c>
      <c r="G194" t="str">
        <v>PROPOSED</v>
      </c>
      <c r="H194" t="str">
        <v>Backend Engineer</v>
      </c>
      <c r="I194" t="str">
        <v>Product/Backend</v>
      </c>
      <c r="J194">
        <v>4</v>
      </c>
      <c r="K194">
        <v>24</v>
      </c>
      <c r="L194">
        <v>3.5999999999999996</v>
      </c>
      <c r="M194">
        <v>27.6</v>
      </c>
      <c r="N194" t="str">
        <v>Not Started</v>
      </c>
    </row>
    <row r="195">
      <c r="A195" t="str">
        <v>256</v>
      </c>
      <c r="B195" t="str">
        <v>E08</v>
      </c>
      <c r="C195" t="str">
        <v>Economy &amp; Rewards</v>
      </c>
      <c r="D195" t="str">
        <v>F08.5.T3</v>
      </c>
      <c r="E195" t="str">
        <v>Validation &amp; QA</v>
      </c>
      <c r="F195" t="str">
        <v>MVP-P0</v>
      </c>
      <c r="G195" t="str">
        <v>PROPOSED</v>
      </c>
      <c r="H195" t="str">
        <v>QA Engineer</v>
      </c>
      <c r="I195" t="str">
        <v>Product/Backend</v>
      </c>
      <c r="J195">
        <v>3</v>
      </c>
      <c r="K195">
        <v>18</v>
      </c>
      <c r="L195">
        <v>2.6999999999999997</v>
      </c>
      <c r="M195">
        <v>20.7</v>
      </c>
      <c r="N195" t="str">
        <v>Not Started</v>
      </c>
    </row>
    <row r="196">
      <c r="A196" t="str">
        <v>258</v>
      </c>
      <c r="B196" t="str">
        <v>E08</v>
      </c>
      <c r="C196" t="str">
        <v>Economy &amp; Rewards</v>
      </c>
      <c r="D196" t="str">
        <v>F08.6.T1</v>
      </c>
      <c r="E196" t="str">
        <v>Analysis &amp; Design</v>
      </c>
      <c r="F196" t="str">
        <v>MVP-P0</v>
      </c>
      <c r="G196" t="str">
        <v>CONFIRMED</v>
      </c>
      <c r="H196" t="str">
        <v>Analytics Engineer</v>
      </c>
      <c r="I196" t="str">
        <v>Product/Backend</v>
      </c>
      <c r="J196">
        <v>2</v>
      </c>
      <c r="K196">
        <v>12</v>
      </c>
      <c r="L196">
        <v>1.7999999999999998</v>
      </c>
      <c r="M196">
        <v>13.8</v>
      </c>
      <c r="N196" t="str">
        <v>Not Started</v>
      </c>
    </row>
    <row r="197">
      <c r="A197" t="str">
        <v>259</v>
      </c>
      <c r="B197" t="str">
        <v>E08</v>
      </c>
      <c r="C197" t="str">
        <v>Economy &amp; Rewards</v>
      </c>
      <c r="D197" t="str">
        <v>F08.6.T2</v>
      </c>
      <c r="E197" t="str">
        <v>Implementation</v>
      </c>
      <c r="F197" t="str">
        <v>MVP-P0</v>
      </c>
      <c r="G197" t="str">
        <v>CONFIRMED</v>
      </c>
      <c r="H197" t="str">
        <v>Analytics Engineer</v>
      </c>
      <c r="I197" t="str">
        <v>Product/Backend</v>
      </c>
      <c r="J197">
        <v>3</v>
      </c>
      <c r="K197">
        <v>18</v>
      </c>
      <c r="L197">
        <v>2.6999999999999997</v>
      </c>
      <c r="M197">
        <v>20.7</v>
      </c>
      <c r="N197" t="str">
        <v>Not Started</v>
      </c>
    </row>
    <row r="198">
      <c r="A198" t="str">
        <v>260</v>
      </c>
      <c r="B198" t="str">
        <v>E08</v>
      </c>
      <c r="C198" t="str">
        <v>Economy &amp; Rewards</v>
      </c>
      <c r="D198" t="str">
        <v>F08.6.T3</v>
      </c>
      <c r="E198" t="str">
        <v>Validation &amp; QA</v>
      </c>
      <c r="F198" t="str">
        <v>MVP-P0</v>
      </c>
      <c r="G198" t="str">
        <v>CONFIRMED</v>
      </c>
      <c r="H198" t="str">
        <v>QA Engineer</v>
      </c>
      <c r="I198" t="str">
        <v>Product/Backend</v>
      </c>
      <c r="J198">
        <v>2</v>
      </c>
      <c r="K198">
        <v>12</v>
      </c>
      <c r="L198">
        <v>1.7999999999999998</v>
      </c>
      <c r="M198">
        <v>13.8</v>
      </c>
      <c r="N198" t="str">
        <v>Not Started</v>
      </c>
    </row>
    <row r="199">
      <c r="A199" t="str">
        <v>262</v>
      </c>
      <c r="B199" t="str">
        <v>E09</v>
      </c>
      <c r="C199" t="str">
        <v>Gameplay Assistance &amp; Recovery</v>
      </c>
      <c r="D199" t="str">
        <v>F09.1.T1</v>
      </c>
      <c r="E199" t="str">
        <v>Analysis &amp; Design</v>
      </c>
      <c r="F199" t="str">
        <v>MVP-P0</v>
      </c>
      <c r="G199" t="str">
        <v>CONFIRMED</v>
      </c>
      <c r="H199" t="str">
        <v>Product Engineer</v>
      </c>
      <c r="I199" t="str">
        <v>Engineering/Product</v>
      </c>
      <c r="J199">
        <v>3</v>
      </c>
      <c r="K199">
        <v>18</v>
      </c>
      <c r="L199">
        <v>2.6999999999999997</v>
      </c>
      <c r="M199">
        <v>20.7</v>
      </c>
      <c r="N199" t="str">
        <v>Not Started</v>
      </c>
    </row>
    <row r="200">
      <c r="A200" t="str">
        <v>263</v>
      </c>
      <c r="B200" t="str">
        <v>E09</v>
      </c>
      <c r="C200" t="str">
        <v>Gameplay Assistance &amp; Recovery</v>
      </c>
      <c r="D200" t="str">
        <v>F09.1.T2</v>
      </c>
      <c r="E200" t="str">
        <v>Implementation</v>
      </c>
      <c r="F200" t="str">
        <v>MVP-P0</v>
      </c>
      <c r="G200" t="str">
        <v>CONFIRMED</v>
      </c>
      <c r="H200" t="str">
        <v>Product Engineer</v>
      </c>
      <c r="I200" t="str">
        <v>Engineering/Product</v>
      </c>
      <c r="J200">
        <v>4</v>
      </c>
      <c r="K200">
        <v>24</v>
      </c>
      <c r="L200">
        <v>3.5999999999999996</v>
      </c>
      <c r="M200">
        <v>27.6</v>
      </c>
      <c r="N200" t="str">
        <v>Not Started</v>
      </c>
    </row>
    <row r="201">
      <c r="A201" t="str">
        <v>264</v>
      </c>
      <c r="B201" t="str">
        <v>E09</v>
      </c>
      <c r="C201" t="str">
        <v>Gameplay Assistance &amp; Recovery</v>
      </c>
      <c r="D201" t="str">
        <v>F09.1.T3</v>
      </c>
      <c r="E201" t="str">
        <v>Validation &amp; QA</v>
      </c>
      <c r="F201" t="str">
        <v>MVP-P0</v>
      </c>
      <c r="G201" t="str">
        <v>CONFIRMED</v>
      </c>
      <c r="H201" t="str">
        <v>QA Engineer</v>
      </c>
      <c r="I201" t="str">
        <v>Engineering/Product</v>
      </c>
      <c r="J201">
        <v>3</v>
      </c>
      <c r="K201">
        <v>18</v>
      </c>
      <c r="L201">
        <v>2.6999999999999997</v>
      </c>
      <c r="M201">
        <v>20.7</v>
      </c>
      <c r="N201" t="str">
        <v>Not Started</v>
      </c>
    </row>
    <row r="202">
      <c r="A202" t="str">
        <v>266</v>
      </c>
      <c r="B202" t="str">
        <v>E09</v>
      </c>
      <c r="C202" t="str">
        <v>Gameplay Assistance &amp; Recovery</v>
      </c>
      <c r="D202" t="str">
        <v>F09.2.T1</v>
      </c>
      <c r="E202" t="str">
        <v>Analysis &amp; Design</v>
      </c>
      <c r="F202" t="str">
        <v>MVP-P0</v>
      </c>
      <c r="G202" t="str">
        <v>CONFIRMED</v>
      </c>
      <c r="H202" t="str">
        <v>Product Engineer</v>
      </c>
      <c r="I202" t="str">
        <v>Engineering/Product</v>
      </c>
      <c r="J202">
        <v>3</v>
      </c>
      <c r="K202">
        <v>18</v>
      </c>
      <c r="L202">
        <v>2.6999999999999997</v>
      </c>
      <c r="M202">
        <v>20.7</v>
      </c>
      <c r="N202" t="str">
        <v>Not Started</v>
      </c>
    </row>
    <row r="203">
      <c r="A203" t="str">
        <v>267</v>
      </c>
      <c r="B203" t="str">
        <v>E09</v>
      </c>
      <c r="C203" t="str">
        <v>Gameplay Assistance &amp; Recovery</v>
      </c>
      <c r="D203" t="str">
        <v>F09.2.T2</v>
      </c>
      <c r="E203" t="str">
        <v>Implementation</v>
      </c>
      <c r="F203" t="str">
        <v>MVP-P0</v>
      </c>
      <c r="G203" t="str">
        <v>CONFIRMED</v>
      </c>
      <c r="H203" t="str">
        <v>Product Engineer</v>
      </c>
      <c r="I203" t="str">
        <v>Engineering/Product</v>
      </c>
      <c r="J203">
        <v>4</v>
      </c>
      <c r="K203">
        <v>24</v>
      </c>
      <c r="L203">
        <v>3.5999999999999996</v>
      </c>
      <c r="M203">
        <v>27.6</v>
      </c>
      <c r="N203" t="str">
        <v>Not Started</v>
      </c>
    </row>
    <row r="204">
      <c r="A204" t="str">
        <v>268</v>
      </c>
      <c r="B204" t="str">
        <v>E09</v>
      </c>
      <c r="C204" t="str">
        <v>Gameplay Assistance &amp; Recovery</v>
      </c>
      <c r="D204" t="str">
        <v>F09.2.T3</v>
      </c>
      <c r="E204" t="str">
        <v>Validation &amp; QA</v>
      </c>
      <c r="F204" t="str">
        <v>MVP-P0</v>
      </c>
      <c r="G204" t="str">
        <v>CONFIRMED</v>
      </c>
      <c r="H204" t="str">
        <v>QA Engineer</v>
      </c>
      <c r="I204" t="str">
        <v>Engineering/Product</v>
      </c>
      <c r="J204">
        <v>3</v>
      </c>
      <c r="K204">
        <v>18</v>
      </c>
      <c r="L204">
        <v>2.6999999999999997</v>
      </c>
      <c r="M204">
        <v>20.7</v>
      </c>
      <c r="N204" t="str">
        <v>Not Started</v>
      </c>
    </row>
    <row r="205">
      <c r="A205" t="str">
        <v>270</v>
      </c>
      <c r="B205" t="str">
        <v>E09</v>
      </c>
      <c r="C205" t="str">
        <v>Gameplay Assistance &amp; Recovery</v>
      </c>
      <c r="D205" t="str">
        <v>F09.3.T1</v>
      </c>
      <c r="E205" t="str">
        <v>Analysis &amp; Design</v>
      </c>
      <c r="F205" t="str">
        <v>MVP-P0</v>
      </c>
      <c r="G205" t="str">
        <v>CONFIRMED</v>
      </c>
      <c r="H205" t="str">
        <v>UI Engineer</v>
      </c>
      <c r="I205" t="str">
        <v>Engineering/Product</v>
      </c>
      <c r="J205">
        <v>2</v>
      </c>
      <c r="K205">
        <v>12</v>
      </c>
      <c r="L205">
        <v>1.7999999999999998</v>
      </c>
      <c r="M205">
        <v>13.8</v>
      </c>
      <c r="N205" t="str">
        <v>Not Started</v>
      </c>
    </row>
    <row r="206">
      <c r="A206" t="str">
        <v>271</v>
      </c>
      <c r="B206" t="str">
        <v>E09</v>
      </c>
      <c r="C206" t="str">
        <v>Gameplay Assistance &amp; Recovery</v>
      </c>
      <c r="D206" t="str">
        <v>F09.3.T2</v>
      </c>
      <c r="E206" t="str">
        <v>Implementation</v>
      </c>
      <c r="F206" t="str">
        <v>MVP-P0</v>
      </c>
      <c r="G206" t="str">
        <v>CONFIRMED</v>
      </c>
      <c r="H206" t="str">
        <v>UI Engineer</v>
      </c>
      <c r="I206" t="str">
        <v>Engineering/Product</v>
      </c>
      <c r="J206">
        <v>3</v>
      </c>
      <c r="K206">
        <v>18</v>
      </c>
      <c r="L206">
        <v>2.6999999999999997</v>
      </c>
      <c r="M206">
        <v>20.7</v>
      </c>
      <c r="N206" t="str">
        <v>Not Started</v>
      </c>
    </row>
    <row r="207">
      <c r="A207" t="str">
        <v>272</v>
      </c>
      <c r="B207" t="str">
        <v>E09</v>
      </c>
      <c r="C207" t="str">
        <v>Gameplay Assistance &amp; Recovery</v>
      </c>
      <c r="D207" t="str">
        <v>F09.3.T3</v>
      </c>
      <c r="E207" t="str">
        <v>Validation &amp; QA</v>
      </c>
      <c r="F207" t="str">
        <v>MVP-P0</v>
      </c>
      <c r="G207" t="str">
        <v>CONFIRMED</v>
      </c>
      <c r="H207" t="str">
        <v>QA Engineer</v>
      </c>
      <c r="I207" t="str">
        <v>Engineering/Product</v>
      </c>
      <c r="J207">
        <v>2</v>
      </c>
      <c r="K207">
        <v>12</v>
      </c>
      <c r="L207">
        <v>1.7999999999999998</v>
      </c>
      <c r="M207">
        <v>13.8</v>
      </c>
      <c r="N207" t="str">
        <v>Not Started</v>
      </c>
    </row>
    <row r="208">
      <c r="A208" t="str">
        <v>274</v>
      </c>
      <c r="B208" t="str">
        <v>E09</v>
      </c>
      <c r="C208" t="str">
        <v>Gameplay Assistance &amp; Recovery</v>
      </c>
      <c r="D208" t="str">
        <v>F09.4.T1</v>
      </c>
      <c r="E208" t="str">
        <v>Analysis &amp; Design</v>
      </c>
      <c r="F208" t="str">
        <v>MVP-P0</v>
      </c>
      <c r="G208" t="str">
        <v>CONFIRMED</v>
      </c>
      <c r="H208" t="str">
        <v>Game Engineer</v>
      </c>
      <c r="I208" t="str">
        <v>Engineering/Product</v>
      </c>
      <c r="J208">
        <v>2</v>
      </c>
      <c r="K208">
        <v>12</v>
      </c>
      <c r="L208">
        <v>1.7999999999999998</v>
      </c>
      <c r="M208">
        <v>13.8</v>
      </c>
      <c r="N208" t="str">
        <v>Not Started</v>
      </c>
    </row>
    <row r="209">
      <c r="A209" t="str">
        <v>275</v>
      </c>
      <c r="B209" t="str">
        <v>E09</v>
      </c>
      <c r="C209" t="str">
        <v>Gameplay Assistance &amp; Recovery</v>
      </c>
      <c r="D209" t="str">
        <v>F09.4.T2</v>
      </c>
      <c r="E209" t="str">
        <v>Implementation</v>
      </c>
      <c r="F209" t="str">
        <v>MVP-P0</v>
      </c>
      <c r="G209" t="str">
        <v>CONFIRMED</v>
      </c>
      <c r="H209" t="str">
        <v>Game Engineer</v>
      </c>
      <c r="I209" t="str">
        <v>Engineering/Product</v>
      </c>
      <c r="J209">
        <v>3</v>
      </c>
      <c r="K209">
        <v>18</v>
      </c>
      <c r="L209">
        <v>2.6999999999999997</v>
      </c>
      <c r="M209">
        <v>20.7</v>
      </c>
      <c r="N209" t="str">
        <v>Not Started</v>
      </c>
    </row>
    <row r="210">
      <c r="A210" t="str">
        <v>276</v>
      </c>
      <c r="B210" t="str">
        <v>E09</v>
      </c>
      <c r="C210" t="str">
        <v>Gameplay Assistance &amp; Recovery</v>
      </c>
      <c r="D210" t="str">
        <v>F09.4.T3</v>
      </c>
      <c r="E210" t="str">
        <v>Validation &amp; QA</v>
      </c>
      <c r="F210" t="str">
        <v>MVP-P0</v>
      </c>
      <c r="G210" t="str">
        <v>CONFIRMED</v>
      </c>
      <c r="H210" t="str">
        <v>QA Engineer</v>
      </c>
      <c r="I210" t="str">
        <v>Engineering/Product</v>
      </c>
      <c r="J210">
        <v>2</v>
      </c>
      <c r="K210">
        <v>12</v>
      </c>
      <c r="L210">
        <v>1.7999999999999998</v>
      </c>
      <c r="M210">
        <v>13.8</v>
      </c>
      <c r="N210" t="str">
        <v>Not Started</v>
      </c>
    </row>
    <row r="211">
      <c r="A211" t="str">
        <v>278</v>
      </c>
      <c r="B211" t="str">
        <v>E09</v>
      </c>
      <c r="C211" t="str">
        <v>Gameplay Assistance &amp; Recovery</v>
      </c>
      <c r="D211" t="str">
        <v>F09.5.T1</v>
      </c>
      <c r="E211" t="str">
        <v>Analysis &amp; Design</v>
      </c>
      <c r="F211" t="str">
        <v>MVP-P0</v>
      </c>
      <c r="G211" t="str">
        <v>CONFIRMED</v>
      </c>
      <c r="H211" t="str">
        <v>UI Engineer</v>
      </c>
      <c r="I211" t="str">
        <v>Engineering/Product</v>
      </c>
      <c r="J211">
        <v>2</v>
      </c>
      <c r="K211">
        <v>12</v>
      </c>
      <c r="L211">
        <v>1.7999999999999998</v>
      </c>
      <c r="M211">
        <v>13.8</v>
      </c>
      <c r="N211" t="str">
        <v>Not Started</v>
      </c>
    </row>
    <row r="212">
      <c r="A212" t="str">
        <v>279</v>
      </c>
      <c r="B212" t="str">
        <v>E09</v>
      </c>
      <c r="C212" t="str">
        <v>Gameplay Assistance &amp; Recovery</v>
      </c>
      <c r="D212" t="str">
        <v>F09.5.T2</v>
      </c>
      <c r="E212" t="str">
        <v>Implementation</v>
      </c>
      <c r="F212" t="str">
        <v>MVP-P0</v>
      </c>
      <c r="G212" t="str">
        <v>CONFIRMED</v>
      </c>
      <c r="H212" t="str">
        <v>UI Engineer</v>
      </c>
      <c r="I212" t="str">
        <v>Engineering/Product</v>
      </c>
      <c r="J212">
        <v>3</v>
      </c>
      <c r="K212">
        <v>18</v>
      </c>
      <c r="L212">
        <v>2.6999999999999997</v>
      </c>
      <c r="M212">
        <v>20.7</v>
      </c>
      <c r="N212" t="str">
        <v>Not Started</v>
      </c>
    </row>
    <row r="213">
      <c r="A213" t="str">
        <v>280</v>
      </c>
      <c r="B213" t="str">
        <v>E09</v>
      </c>
      <c r="C213" t="str">
        <v>Gameplay Assistance &amp; Recovery</v>
      </c>
      <c r="D213" t="str">
        <v>F09.5.T3</v>
      </c>
      <c r="E213" t="str">
        <v>Validation &amp; QA</v>
      </c>
      <c r="F213" t="str">
        <v>MVP-P0</v>
      </c>
      <c r="G213" t="str">
        <v>CONFIRMED</v>
      </c>
      <c r="H213" t="str">
        <v>QA Engineer</v>
      </c>
      <c r="I213" t="str">
        <v>Engineering/Product</v>
      </c>
      <c r="J213">
        <v>2</v>
      </c>
      <c r="K213">
        <v>12</v>
      </c>
      <c r="L213">
        <v>1.7999999999999998</v>
      </c>
      <c r="M213">
        <v>13.8</v>
      </c>
      <c r="N213" t="str">
        <v>Not Started</v>
      </c>
    </row>
    <row r="214">
      <c r="A214" t="str">
        <v>282</v>
      </c>
      <c r="B214" t="str">
        <v>E09</v>
      </c>
      <c r="C214" t="str">
        <v>Gameplay Assistance &amp; Recovery</v>
      </c>
      <c r="D214" t="str">
        <v>F09.6.T1</v>
      </c>
      <c r="E214" t="str">
        <v>Analysis &amp; Design</v>
      </c>
      <c r="F214" t="str">
        <v>MVP-P0</v>
      </c>
      <c r="G214" t="str">
        <v>TBD BEHAVIOR</v>
      </c>
      <c r="H214" t="str">
        <v>Game Engineer</v>
      </c>
      <c r="I214" t="str">
        <v>Engineering/Product</v>
      </c>
      <c r="J214">
        <v>3</v>
      </c>
      <c r="K214">
        <v>18</v>
      </c>
      <c r="L214">
        <v>2.6999999999999997</v>
      </c>
      <c r="M214">
        <v>20.7</v>
      </c>
      <c r="N214" t="str">
        <v>Not Started</v>
      </c>
    </row>
    <row r="215">
      <c r="A215" t="str">
        <v>283</v>
      </c>
      <c r="B215" t="str">
        <v>E09</v>
      </c>
      <c r="C215" t="str">
        <v>Gameplay Assistance &amp; Recovery</v>
      </c>
      <c r="D215" t="str">
        <v>F09.6.T2</v>
      </c>
      <c r="E215" t="str">
        <v>Implementation</v>
      </c>
      <c r="F215" t="str">
        <v>MVP-P0</v>
      </c>
      <c r="G215" t="str">
        <v>TBD BEHAVIOR</v>
      </c>
      <c r="H215" t="str">
        <v>Game Engineer</v>
      </c>
      <c r="I215" t="str">
        <v>Engineering/Product</v>
      </c>
      <c r="J215">
        <v>4</v>
      </c>
      <c r="K215">
        <v>24</v>
      </c>
      <c r="L215">
        <v>3.5999999999999996</v>
      </c>
      <c r="M215">
        <v>27.6</v>
      </c>
      <c r="N215" t="str">
        <v>Not Started</v>
      </c>
    </row>
    <row r="216">
      <c r="A216" t="str">
        <v>284</v>
      </c>
      <c r="B216" t="str">
        <v>E09</v>
      </c>
      <c r="C216" t="str">
        <v>Gameplay Assistance &amp; Recovery</v>
      </c>
      <c r="D216" t="str">
        <v>F09.6.T3</v>
      </c>
      <c r="E216" t="str">
        <v>Validation &amp; QA</v>
      </c>
      <c r="F216" t="str">
        <v>MVP-P0</v>
      </c>
      <c r="G216" t="str">
        <v>TBD BEHAVIOR</v>
      </c>
      <c r="H216" t="str">
        <v>QA Engineer</v>
      </c>
      <c r="I216" t="str">
        <v>Engineering/Product</v>
      </c>
      <c r="J216">
        <v>3</v>
      </c>
      <c r="K216">
        <v>18</v>
      </c>
      <c r="L216">
        <v>2.6999999999999997</v>
      </c>
      <c r="M216">
        <v>20.7</v>
      </c>
      <c r="N216" t="str">
        <v>Not Started</v>
      </c>
    </row>
    <row r="217">
      <c r="A217" t="str">
        <v>286</v>
      </c>
      <c r="B217" t="str">
        <v>E09</v>
      </c>
      <c r="C217" t="str">
        <v>Gameplay Assistance &amp; Recovery</v>
      </c>
      <c r="D217" t="str">
        <v>F09.7.T1</v>
      </c>
      <c r="E217" t="str">
        <v>Analysis &amp; Design</v>
      </c>
      <c r="F217" t="str">
        <v>MVP-P0</v>
      </c>
      <c r="G217" t="str">
        <v>PROPOSED</v>
      </c>
      <c r="H217" t="str">
        <v>Backend Engineer</v>
      </c>
      <c r="I217" t="str">
        <v>Engineering/Product</v>
      </c>
      <c r="J217">
        <v>2</v>
      </c>
      <c r="K217">
        <v>12</v>
      </c>
      <c r="L217">
        <v>1.7999999999999998</v>
      </c>
      <c r="M217">
        <v>13.8</v>
      </c>
      <c r="N217" t="str">
        <v>Not Started</v>
      </c>
    </row>
    <row r="218">
      <c r="A218" t="str">
        <v>287</v>
      </c>
      <c r="B218" t="str">
        <v>E09</v>
      </c>
      <c r="C218" t="str">
        <v>Gameplay Assistance &amp; Recovery</v>
      </c>
      <c r="D218" t="str">
        <v>F09.7.T2</v>
      </c>
      <c r="E218" t="str">
        <v>Implementation</v>
      </c>
      <c r="F218" t="str">
        <v>MVP-P0</v>
      </c>
      <c r="G218" t="str">
        <v>PROPOSED</v>
      </c>
      <c r="H218" t="str">
        <v>Backend Engineer</v>
      </c>
      <c r="I218" t="str">
        <v>Engineering/Product</v>
      </c>
      <c r="J218">
        <v>3</v>
      </c>
      <c r="K218">
        <v>18</v>
      </c>
      <c r="L218">
        <v>2.6999999999999997</v>
      </c>
      <c r="M218">
        <v>20.7</v>
      </c>
      <c r="N218" t="str">
        <v>Not Started</v>
      </c>
    </row>
    <row r="219">
      <c r="A219" t="str">
        <v>288</v>
      </c>
      <c r="B219" t="str">
        <v>E09</v>
      </c>
      <c r="C219" t="str">
        <v>Gameplay Assistance &amp; Recovery</v>
      </c>
      <c r="D219" t="str">
        <v>F09.7.T3</v>
      </c>
      <c r="E219" t="str">
        <v>Validation &amp; QA</v>
      </c>
      <c r="F219" t="str">
        <v>MVP-P0</v>
      </c>
      <c r="G219" t="str">
        <v>PROPOSED</v>
      </c>
      <c r="H219" t="str">
        <v>QA Engineer</v>
      </c>
      <c r="I219" t="str">
        <v>Engineering/Product</v>
      </c>
      <c r="J219">
        <v>2</v>
      </c>
      <c r="K219">
        <v>12</v>
      </c>
      <c r="L219">
        <v>1.7999999999999998</v>
      </c>
      <c r="M219">
        <v>13.8</v>
      </c>
      <c r="N219" t="str">
        <v>Not Started</v>
      </c>
    </row>
    <row r="220">
      <c r="A220" t="str">
        <v>290</v>
      </c>
      <c r="B220" t="str">
        <v>E10</v>
      </c>
      <c r="C220" t="str">
        <v>Monetization</v>
      </c>
      <c r="D220" t="str">
        <v>F10.1.T1</v>
      </c>
      <c r="E220" t="str">
        <v>Analysis &amp; Design</v>
      </c>
      <c r="F220" t="str">
        <v>MVP-P0</v>
      </c>
      <c r="G220" t="str">
        <v>CONFIRMED/PROPOSED ARCH</v>
      </c>
      <c r="H220" t="str">
        <v>Mobile Engineer</v>
      </c>
      <c r="I220" t="str">
        <v>Product/Backend</v>
      </c>
      <c r="J220">
        <v>3</v>
      </c>
      <c r="K220">
        <v>18</v>
      </c>
      <c r="L220">
        <v>2.6999999999999997</v>
      </c>
      <c r="M220">
        <v>20.7</v>
      </c>
      <c r="N220" t="str">
        <v>Not Started</v>
      </c>
    </row>
    <row r="221">
      <c r="A221" t="str">
        <v>291</v>
      </c>
      <c r="B221" t="str">
        <v>E10</v>
      </c>
      <c r="C221" t="str">
        <v>Monetization</v>
      </c>
      <c r="D221" t="str">
        <v>F10.1.T2</v>
      </c>
      <c r="E221" t="str">
        <v>Implementation</v>
      </c>
      <c r="F221" t="str">
        <v>MVP-P0</v>
      </c>
      <c r="G221" t="str">
        <v>CONFIRMED/PROPOSED ARCH</v>
      </c>
      <c r="H221" t="str">
        <v>Mobile Engineer</v>
      </c>
      <c r="I221" t="str">
        <v>Product/Backend</v>
      </c>
      <c r="J221">
        <v>4</v>
      </c>
      <c r="K221">
        <v>24</v>
      </c>
      <c r="L221">
        <v>3.5999999999999996</v>
      </c>
      <c r="M221">
        <v>27.6</v>
      </c>
      <c r="N221" t="str">
        <v>Not Started</v>
      </c>
    </row>
    <row r="222">
      <c r="A222" t="str">
        <v>292</v>
      </c>
      <c r="B222" t="str">
        <v>E10</v>
      </c>
      <c r="C222" t="str">
        <v>Monetization</v>
      </c>
      <c r="D222" t="str">
        <v>F10.1.T3</v>
      </c>
      <c r="E222" t="str">
        <v>Validation &amp; QA</v>
      </c>
      <c r="F222" t="str">
        <v>MVP-P0</v>
      </c>
      <c r="G222" t="str">
        <v>CONFIRMED/PROPOSED ARCH</v>
      </c>
      <c r="H222" t="str">
        <v>QA Engineer</v>
      </c>
      <c r="I222" t="str">
        <v>Product/Backend</v>
      </c>
      <c r="J222">
        <v>3</v>
      </c>
      <c r="K222">
        <v>18</v>
      </c>
      <c r="L222">
        <v>2.6999999999999997</v>
      </c>
      <c r="M222">
        <v>20.7</v>
      </c>
      <c r="N222" t="str">
        <v>Not Started</v>
      </c>
    </row>
    <row r="223">
      <c r="A223" t="str">
        <v>294</v>
      </c>
      <c r="B223" t="str">
        <v>E10</v>
      </c>
      <c r="C223" t="str">
        <v>Monetization</v>
      </c>
      <c r="D223" t="str">
        <v>F10.2.T1</v>
      </c>
      <c r="E223" t="str">
        <v>Analysis &amp; Design</v>
      </c>
      <c r="F223" t="str">
        <v>MVP-P0</v>
      </c>
      <c r="G223" t="str">
        <v>CONFIRMED</v>
      </c>
      <c r="H223" t="str">
        <v>Mobile/Backend Engineer</v>
      </c>
      <c r="I223" t="str">
        <v>Product/Backend</v>
      </c>
      <c r="J223">
        <v>2</v>
      </c>
      <c r="K223">
        <v>12</v>
      </c>
      <c r="L223">
        <v>1.7999999999999998</v>
      </c>
      <c r="M223">
        <v>13.8</v>
      </c>
      <c r="N223" t="str">
        <v>Not Started</v>
      </c>
    </row>
    <row r="224">
      <c r="A224" t="str">
        <v>295</v>
      </c>
      <c r="B224" t="str">
        <v>E10</v>
      </c>
      <c r="C224" t="str">
        <v>Monetization</v>
      </c>
      <c r="D224" t="str">
        <v>F10.2.T2</v>
      </c>
      <c r="E224" t="str">
        <v>Implementation</v>
      </c>
      <c r="F224" t="str">
        <v>MVP-P0</v>
      </c>
      <c r="G224" t="str">
        <v>CONFIRMED</v>
      </c>
      <c r="H224" t="str">
        <v>Mobile/Backend Engineer</v>
      </c>
      <c r="I224" t="str">
        <v>Product/Backend</v>
      </c>
      <c r="J224">
        <v>3</v>
      </c>
      <c r="K224">
        <v>18</v>
      </c>
      <c r="L224">
        <v>2.6999999999999997</v>
      </c>
      <c r="M224">
        <v>20.7</v>
      </c>
      <c r="N224" t="str">
        <v>Not Started</v>
      </c>
    </row>
    <row r="225">
      <c r="A225" t="str">
        <v>296</v>
      </c>
      <c r="B225" t="str">
        <v>E10</v>
      </c>
      <c r="C225" t="str">
        <v>Monetization</v>
      </c>
      <c r="D225" t="str">
        <v>F10.2.T3</v>
      </c>
      <c r="E225" t="str">
        <v>Validation &amp; QA</v>
      </c>
      <c r="F225" t="str">
        <v>MVP-P0</v>
      </c>
      <c r="G225" t="str">
        <v>CONFIRMED</v>
      </c>
      <c r="H225" t="str">
        <v>QA Engineer</v>
      </c>
      <c r="I225" t="str">
        <v>Product/Backend</v>
      </c>
      <c r="J225">
        <v>2</v>
      </c>
      <c r="K225">
        <v>12</v>
      </c>
      <c r="L225">
        <v>1.7999999999999998</v>
      </c>
      <c r="M225">
        <v>13.8</v>
      </c>
      <c r="N225" t="str">
        <v>Not Started</v>
      </c>
    </row>
    <row r="226">
      <c r="A226" t="str">
        <v>298</v>
      </c>
      <c r="B226" t="str">
        <v>E10</v>
      </c>
      <c r="C226" t="str">
        <v>Monetization</v>
      </c>
      <c r="D226" t="str">
        <v>F10.3.T1</v>
      </c>
      <c r="E226" t="str">
        <v>Analysis &amp; Design</v>
      </c>
      <c r="F226" t="str">
        <v>MVP-P0</v>
      </c>
      <c r="G226" t="str">
        <v>CONFIRMED</v>
      </c>
      <c r="H226" t="str">
        <v>Mobile/Backend Engineer</v>
      </c>
      <c r="I226" t="str">
        <v>Product/Backend</v>
      </c>
      <c r="J226">
        <v>2</v>
      </c>
      <c r="K226">
        <v>12</v>
      </c>
      <c r="L226">
        <v>1.7999999999999998</v>
      </c>
      <c r="M226">
        <v>13.8</v>
      </c>
      <c r="N226" t="str">
        <v>Not Started</v>
      </c>
    </row>
    <row r="227">
      <c r="A227" t="str">
        <v>299</v>
      </c>
      <c r="B227" t="str">
        <v>E10</v>
      </c>
      <c r="C227" t="str">
        <v>Monetization</v>
      </c>
      <c r="D227" t="str">
        <v>F10.3.T2</v>
      </c>
      <c r="E227" t="str">
        <v>Implementation</v>
      </c>
      <c r="F227" t="str">
        <v>MVP-P0</v>
      </c>
      <c r="G227" t="str">
        <v>CONFIRMED</v>
      </c>
      <c r="H227" t="str">
        <v>Mobile/Backend Engineer</v>
      </c>
      <c r="I227" t="str">
        <v>Product/Backend</v>
      </c>
      <c r="J227">
        <v>3</v>
      </c>
      <c r="K227">
        <v>18</v>
      </c>
      <c r="L227">
        <v>2.6999999999999997</v>
      </c>
      <c r="M227">
        <v>20.7</v>
      </c>
      <c r="N227" t="str">
        <v>Not Started</v>
      </c>
    </row>
    <row r="228">
      <c r="A228" t="str">
        <v>300</v>
      </c>
      <c r="B228" t="str">
        <v>E10</v>
      </c>
      <c r="C228" t="str">
        <v>Monetization</v>
      </c>
      <c r="D228" t="str">
        <v>F10.3.T3</v>
      </c>
      <c r="E228" t="str">
        <v>Validation &amp; QA</v>
      </c>
      <c r="F228" t="str">
        <v>MVP-P0</v>
      </c>
      <c r="G228" t="str">
        <v>CONFIRMED</v>
      </c>
      <c r="H228" t="str">
        <v>QA Engineer</v>
      </c>
      <c r="I228" t="str">
        <v>Product/Backend</v>
      </c>
      <c r="J228">
        <v>2</v>
      </c>
      <c r="K228">
        <v>12</v>
      </c>
      <c r="L228">
        <v>1.7999999999999998</v>
      </c>
      <c r="M228">
        <v>13.8</v>
      </c>
      <c r="N228" t="str">
        <v>Not Started</v>
      </c>
    </row>
    <row r="229">
      <c r="A229" t="str">
        <v>302</v>
      </c>
      <c r="B229" t="str">
        <v>E10</v>
      </c>
      <c r="C229" t="str">
        <v>Monetization</v>
      </c>
      <c r="D229" t="str">
        <v>F10.4.T1</v>
      </c>
      <c r="E229" t="str">
        <v>Analysis &amp; Design</v>
      </c>
      <c r="F229" t="str">
        <v>MVP-P0</v>
      </c>
      <c r="G229" t="str">
        <v>CONFIRMED</v>
      </c>
      <c r="H229" t="str">
        <v>Mobile/Backend Engineer</v>
      </c>
      <c r="I229" t="str">
        <v>Product/Backend</v>
      </c>
      <c r="J229">
        <v>2</v>
      </c>
      <c r="K229">
        <v>12</v>
      </c>
      <c r="L229">
        <v>1.7999999999999998</v>
      </c>
      <c r="M229">
        <v>13.8</v>
      </c>
      <c r="N229" t="str">
        <v>Not Started</v>
      </c>
    </row>
    <row r="230">
      <c r="A230" t="str">
        <v>303</v>
      </c>
      <c r="B230" t="str">
        <v>E10</v>
      </c>
      <c r="C230" t="str">
        <v>Monetization</v>
      </c>
      <c r="D230" t="str">
        <v>F10.4.T2</v>
      </c>
      <c r="E230" t="str">
        <v>Implementation</v>
      </c>
      <c r="F230" t="str">
        <v>MVP-P0</v>
      </c>
      <c r="G230" t="str">
        <v>CONFIRMED</v>
      </c>
      <c r="H230" t="str">
        <v>Mobile/Backend Engineer</v>
      </c>
      <c r="I230" t="str">
        <v>Product/Backend</v>
      </c>
      <c r="J230">
        <v>3</v>
      </c>
      <c r="K230">
        <v>18</v>
      </c>
      <c r="L230">
        <v>2.6999999999999997</v>
      </c>
      <c r="M230">
        <v>20.7</v>
      </c>
      <c r="N230" t="str">
        <v>Not Started</v>
      </c>
    </row>
    <row r="231">
      <c r="A231" t="str">
        <v>304</v>
      </c>
      <c r="B231" t="str">
        <v>E10</v>
      </c>
      <c r="C231" t="str">
        <v>Monetization</v>
      </c>
      <c r="D231" t="str">
        <v>F10.4.T3</v>
      </c>
      <c r="E231" t="str">
        <v>Validation &amp; QA</v>
      </c>
      <c r="F231" t="str">
        <v>MVP-P0</v>
      </c>
      <c r="G231" t="str">
        <v>CONFIRMED</v>
      </c>
      <c r="H231" t="str">
        <v>QA Engineer</v>
      </c>
      <c r="I231" t="str">
        <v>Product/Backend</v>
      </c>
      <c r="J231">
        <v>2</v>
      </c>
      <c r="K231">
        <v>12</v>
      </c>
      <c r="L231">
        <v>1.7999999999999998</v>
      </c>
      <c r="M231">
        <v>13.8</v>
      </c>
      <c r="N231" t="str">
        <v>Not Started</v>
      </c>
    </row>
    <row r="232">
      <c r="A232" t="str">
        <v>306</v>
      </c>
      <c r="B232" t="str">
        <v>E10</v>
      </c>
      <c r="C232" t="str">
        <v>Monetization</v>
      </c>
      <c r="D232" t="str">
        <v>F10.5.T1</v>
      </c>
      <c r="E232" t="str">
        <v>Analysis &amp; Design</v>
      </c>
      <c r="F232" t="str">
        <v>MVP-P0</v>
      </c>
      <c r="G232" t="str">
        <v>CONFIRMED</v>
      </c>
      <c r="H232" t="str">
        <v>Mobile/Backend Engineer</v>
      </c>
      <c r="I232" t="str">
        <v>Product/Backend</v>
      </c>
      <c r="J232">
        <v>2</v>
      </c>
      <c r="K232">
        <v>12</v>
      </c>
      <c r="L232">
        <v>1.7999999999999998</v>
      </c>
      <c r="M232">
        <v>13.8</v>
      </c>
      <c r="N232" t="str">
        <v>Not Started</v>
      </c>
    </row>
    <row r="233">
      <c r="A233" t="str">
        <v>307</v>
      </c>
      <c r="B233" t="str">
        <v>E10</v>
      </c>
      <c r="C233" t="str">
        <v>Monetization</v>
      </c>
      <c r="D233" t="str">
        <v>F10.5.T2</v>
      </c>
      <c r="E233" t="str">
        <v>Implementation</v>
      </c>
      <c r="F233" t="str">
        <v>MVP-P0</v>
      </c>
      <c r="G233" t="str">
        <v>CONFIRMED</v>
      </c>
      <c r="H233" t="str">
        <v>Mobile/Backend Engineer</v>
      </c>
      <c r="I233" t="str">
        <v>Product/Backend</v>
      </c>
      <c r="J233">
        <v>3</v>
      </c>
      <c r="K233">
        <v>18</v>
      </c>
      <c r="L233">
        <v>2.6999999999999997</v>
      </c>
      <c r="M233">
        <v>20.7</v>
      </c>
      <c r="N233" t="str">
        <v>Not Started</v>
      </c>
    </row>
    <row r="234">
      <c r="A234" t="str">
        <v>308</v>
      </c>
      <c r="B234" t="str">
        <v>E10</v>
      </c>
      <c r="C234" t="str">
        <v>Monetization</v>
      </c>
      <c r="D234" t="str">
        <v>F10.5.T3</v>
      </c>
      <c r="E234" t="str">
        <v>Validation &amp; QA</v>
      </c>
      <c r="F234" t="str">
        <v>MVP-P0</v>
      </c>
      <c r="G234" t="str">
        <v>CONFIRMED</v>
      </c>
      <c r="H234" t="str">
        <v>QA Engineer</v>
      </c>
      <c r="I234" t="str">
        <v>Product/Backend</v>
      </c>
      <c r="J234">
        <v>2</v>
      </c>
      <c r="K234">
        <v>12</v>
      </c>
      <c r="L234">
        <v>1.7999999999999998</v>
      </c>
      <c r="M234">
        <v>13.8</v>
      </c>
      <c r="N234" t="str">
        <v>Not Started</v>
      </c>
    </row>
    <row r="235">
      <c r="A235" t="str">
        <v>310</v>
      </c>
      <c r="B235" t="str">
        <v>E10</v>
      </c>
      <c r="C235" t="str">
        <v>Monetization</v>
      </c>
      <c r="D235" t="str">
        <v>F10.6.T1</v>
      </c>
      <c r="E235" t="str">
        <v>Analysis &amp; Design</v>
      </c>
      <c r="F235" t="str">
        <v>MVP-P0</v>
      </c>
      <c r="G235" t="str">
        <v>CONFIRMED CONCEPT</v>
      </c>
      <c r="H235" t="str">
        <v>Product Engineer</v>
      </c>
      <c r="I235" t="str">
        <v>Product/Backend</v>
      </c>
      <c r="J235">
        <v>3</v>
      </c>
      <c r="K235">
        <v>18</v>
      </c>
      <c r="L235">
        <v>2.6999999999999997</v>
      </c>
      <c r="M235">
        <v>20.7</v>
      </c>
      <c r="N235" t="str">
        <v>Not Started</v>
      </c>
    </row>
    <row r="236">
      <c r="A236" t="str">
        <v>311</v>
      </c>
      <c r="B236" t="str">
        <v>E10</v>
      </c>
      <c r="C236" t="str">
        <v>Monetization</v>
      </c>
      <c r="D236" t="str">
        <v>F10.6.T2</v>
      </c>
      <c r="E236" t="str">
        <v>Implementation</v>
      </c>
      <c r="F236" t="str">
        <v>MVP-P0</v>
      </c>
      <c r="G236" t="str">
        <v>CONFIRMED CONCEPT</v>
      </c>
      <c r="H236" t="str">
        <v>Product Engineer</v>
      </c>
      <c r="I236" t="str">
        <v>Product/Backend</v>
      </c>
      <c r="J236">
        <v>4</v>
      </c>
      <c r="K236">
        <v>24</v>
      </c>
      <c r="L236">
        <v>3.5999999999999996</v>
      </c>
      <c r="M236">
        <v>27.6</v>
      </c>
      <c r="N236" t="str">
        <v>Not Started</v>
      </c>
    </row>
    <row r="237">
      <c r="A237" t="str">
        <v>312</v>
      </c>
      <c r="B237" t="str">
        <v>E10</v>
      </c>
      <c r="C237" t="str">
        <v>Monetization</v>
      </c>
      <c r="D237" t="str">
        <v>F10.6.T3</v>
      </c>
      <c r="E237" t="str">
        <v>Validation &amp; QA</v>
      </c>
      <c r="F237" t="str">
        <v>MVP-P0</v>
      </c>
      <c r="G237" t="str">
        <v>CONFIRMED CONCEPT</v>
      </c>
      <c r="H237" t="str">
        <v>QA Engineer</v>
      </c>
      <c r="I237" t="str">
        <v>Product/Backend</v>
      </c>
      <c r="J237">
        <v>3</v>
      </c>
      <c r="K237">
        <v>18</v>
      </c>
      <c r="L237">
        <v>2.6999999999999997</v>
      </c>
      <c r="M237">
        <v>20.7</v>
      </c>
      <c r="N237" t="str">
        <v>Not Started</v>
      </c>
    </row>
    <row r="238">
      <c r="A238" t="str">
        <v>314</v>
      </c>
      <c r="B238" t="str">
        <v>E10</v>
      </c>
      <c r="C238" t="str">
        <v>Monetization</v>
      </c>
      <c r="D238" t="str">
        <v>F10.7.T1</v>
      </c>
      <c r="E238" t="str">
        <v>Analysis &amp; Design</v>
      </c>
      <c r="F238" t="str">
        <v>MVP-P0</v>
      </c>
      <c r="G238" t="str">
        <v>CONFIRMED</v>
      </c>
      <c r="H238" t="str">
        <v>Backend/Mobile Engineer</v>
      </c>
      <c r="I238" t="str">
        <v>Product/Backend</v>
      </c>
      <c r="J238">
        <v>2</v>
      </c>
      <c r="K238">
        <v>12</v>
      </c>
      <c r="L238">
        <v>1.7999999999999998</v>
      </c>
      <c r="M238">
        <v>13.8</v>
      </c>
      <c r="N238" t="str">
        <v>Not Started</v>
      </c>
    </row>
    <row r="239">
      <c r="A239" t="str">
        <v>315</v>
      </c>
      <c r="B239" t="str">
        <v>E10</v>
      </c>
      <c r="C239" t="str">
        <v>Monetization</v>
      </c>
      <c r="D239" t="str">
        <v>F10.7.T2</v>
      </c>
      <c r="E239" t="str">
        <v>Implementation</v>
      </c>
      <c r="F239" t="str">
        <v>MVP-P0</v>
      </c>
      <c r="G239" t="str">
        <v>CONFIRMED</v>
      </c>
      <c r="H239" t="str">
        <v>Backend/Mobile Engineer</v>
      </c>
      <c r="I239" t="str">
        <v>Product/Backend</v>
      </c>
      <c r="J239">
        <v>3</v>
      </c>
      <c r="K239">
        <v>18</v>
      </c>
      <c r="L239">
        <v>2.6999999999999997</v>
      </c>
      <c r="M239">
        <v>20.7</v>
      </c>
      <c r="N239" t="str">
        <v>Not Started</v>
      </c>
    </row>
    <row r="240">
      <c r="A240" t="str">
        <v>316</v>
      </c>
      <c r="B240" t="str">
        <v>E10</v>
      </c>
      <c r="C240" t="str">
        <v>Monetization</v>
      </c>
      <c r="D240" t="str">
        <v>F10.7.T3</v>
      </c>
      <c r="E240" t="str">
        <v>Validation &amp; QA</v>
      </c>
      <c r="F240" t="str">
        <v>MVP-P0</v>
      </c>
      <c r="G240" t="str">
        <v>CONFIRMED</v>
      </c>
      <c r="H240" t="str">
        <v>QA Engineer</v>
      </c>
      <c r="I240" t="str">
        <v>Product/Backend</v>
      </c>
      <c r="J240">
        <v>2</v>
      </c>
      <c r="K240">
        <v>12</v>
      </c>
      <c r="L240">
        <v>1.7999999999999998</v>
      </c>
      <c r="M240">
        <v>13.8</v>
      </c>
      <c r="N240" t="str">
        <v>Not Started</v>
      </c>
    </row>
    <row r="241">
      <c r="A241" t="str">
        <v>318</v>
      </c>
      <c r="B241" t="str">
        <v>E10</v>
      </c>
      <c r="C241" t="str">
        <v>Monetization</v>
      </c>
      <c r="D241" t="str">
        <v>F10.8.T1</v>
      </c>
      <c r="E241" t="str">
        <v>Analysis &amp; Design</v>
      </c>
      <c r="F241" t="str">
        <v>MVP-P0</v>
      </c>
      <c r="G241" t="str">
        <v>CONFIRMED</v>
      </c>
      <c r="H241" t="str">
        <v>Mobile Engineer</v>
      </c>
      <c r="I241" t="str">
        <v>Product/Backend</v>
      </c>
      <c r="J241">
        <v>3</v>
      </c>
      <c r="K241">
        <v>18</v>
      </c>
      <c r="L241">
        <v>2.6999999999999997</v>
      </c>
      <c r="M241">
        <v>20.7</v>
      </c>
      <c r="N241" t="str">
        <v>Not Started</v>
      </c>
    </row>
    <row r="242">
      <c r="A242" t="str">
        <v>319</v>
      </c>
      <c r="B242" t="str">
        <v>E10</v>
      </c>
      <c r="C242" t="str">
        <v>Monetization</v>
      </c>
      <c r="D242" t="str">
        <v>F10.8.T2</v>
      </c>
      <c r="E242" t="str">
        <v>Implementation</v>
      </c>
      <c r="F242" t="str">
        <v>MVP-P0</v>
      </c>
      <c r="G242" t="str">
        <v>CONFIRMED</v>
      </c>
      <c r="H242" t="str">
        <v>Mobile Engineer</v>
      </c>
      <c r="I242" t="str">
        <v>Product/Backend</v>
      </c>
      <c r="J242">
        <v>4</v>
      </c>
      <c r="K242">
        <v>24</v>
      </c>
      <c r="L242">
        <v>3.5999999999999996</v>
      </c>
      <c r="M242">
        <v>27.6</v>
      </c>
      <c r="N242" t="str">
        <v>Not Started</v>
      </c>
    </row>
    <row r="243">
      <c r="A243" t="str">
        <v>320</v>
      </c>
      <c r="B243" t="str">
        <v>E10</v>
      </c>
      <c r="C243" t="str">
        <v>Monetization</v>
      </c>
      <c r="D243" t="str">
        <v>F10.8.T3</v>
      </c>
      <c r="E243" t="str">
        <v>Validation &amp; QA</v>
      </c>
      <c r="F243" t="str">
        <v>MVP-P0</v>
      </c>
      <c r="G243" t="str">
        <v>CONFIRMED</v>
      </c>
      <c r="H243" t="str">
        <v>QA Engineer</v>
      </c>
      <c r="I243" t="str">
        <v>Product/Backend</v>
      </c>
      <c r="J243">
        <v>3</v>
      </c>
      <c r="K243">
        <v>18</v>
      </c>
      <c r="L243">
        <v>2.6999999999999997</v>
      </c>
      <c r="M243">
        <v>20.7</v>
      </c>
      <c r="N243" t="str">
        <v>Not Started</v>
      </c>
    </row>
    <row r="244">
      <c r="A244" t="str">
        <v>322</v>
      </c>
      <c r="B244" t="str">
        <v>E10</v>
      </c>
      <c r="C244" t="str">
        <v>Monetization</v>
      </c>
      <c r="D244" t="str">
        <v>F10.9.T1</v>
      </c>
      <c r="E244" t="str">
        <v>Analysis &amp; Design</v>
      </c>
      <c r="F244" t="str">
        <v>MVP-P0</v>
      </c>
      <c r="G244" t="str">
        <v>PROPOSED ARCH</v>
      </c>
      <c r="H244" t="str">
        <v>Backend Engineer</v>
      </c>
      <c r="I244" t="str">
        <v>Product/Backend</v>
      </c>
      <c r="J244">
        <v>5</v>
      </c>
      <c r="K244">
        <v>30</v>
      </c>
      <c r="L244">
        <v>4.5</v>
      </c>
      <c r="M244">
        <v>34.5</v>
      </c>
      <c r="N244" t="str">
        <v>Not Started</v>
      </c>
    </row>
    <row r="245">
      <c r="A245" t="str">
        <v>323</v>
      </c>
      <c r="B245" t="str">
        <v>E10</v>
      </c>
      <c r="C245" t="str">
        <v>Monetization</v>
      </c>
      <c r="D245" t="str">
        <v>F10.9.T2</v>
      </c>
      <c r="E245" t="str">
        <v>Implementation</v>
      </c>
      <c r="F245" t="str">
        <v>MVP-P0</v>
      </c>
      <c r="G245" t="str">
        <v>PROPOSED ARCH</v>
      </c>
      <c r="H245" t="str">
        <v>Backend Engineer</v>
      </c>
      <c r="I245" t="str">
        <v>Product/Backend</v>
      </c>
      <c r="J245">
        <v>7</v>
      </c>
      <c r="K245">
        <v>42</v>
      </c>
      <c r="L245">
        <v>6.3</v>
      </c>
      <c r="M245">
        <v>48.3</v>
      </c>
      <c r="N245" t="str">
        <v>Not Started</v>
      </c>
    </row>
    <row r="246">
      <c r="A246" t="str">
        <v>324</v>
      </c>
      <c r="B246" t="str">
        <v>E10</v>
      </c>
      <c r="C246" t="str">
        <v>Monetization</v>
      </c>
      <c r="D246" t="str">
        <v>F10.9.T3</v>
      </c>
      <c r="E246" t="str">
        <v>Validation &amp; QA</v>
      </c>
      <c r="F246" t="str">
        <v>MVP-P0</v>
      </c>
      <c r="G246" t="str">
        <v>PROPOSED ARCH</v>
      </c>
      <c r="H246" t="str">
        <v>QA Engineer</v>
      </c>
      <c r="I246" t="str">
        <v>Product/Backend</v>
      </c>
      <c r="J246">
        <v>5</v>
      </c>
      <c r="K246">
        <v>30</v>
      </c>
      <c r="L246">
        <v>4.5</v>
      </c>
      <c r="M246">
        <v>34.5</v>
      </c>
      <c r="N246" t="str">
        <v>Not Started</v>
      </c>
    </row>
    <row r="247">
      <c r="A247" t="str">
        <v>326</v>
      </c>
      <c r="B247" t="str">
        <v>E10</v>
      </c>
      <c r="C247" t="str">
        <v>Monetization</v>
      </c>
      <c r="D247" t="str">
        <v>F10.10.T1</v>
      </c>
      <c r="E247" t="str">
        <v>Analysis &amp; Design</v>
      </c>
      <c r="F247" t="str">
        <v>MVP-P0</v>
      </c>
      <c r="G247" t="str">
        <v>CONFIRMED</v>
      </c>
      <c r="H247" t="str">
        <v>Mobile/Backend Engineer</v>
      </c>
      <c r="I247" t="str">
        <v>Product/Backend</v>
      </c>
      <c r="J247">
        <v>2</v>
      </c>
      <c r="K247">
        <v>12</v>
      </c>
      <c r="L247">
        <v>1.7999999999999998</v>
      </c>
      <c r="M247">
        <v>13.8</v>
      </c>
      <c r="N247" t="str">
        <v>Not Started</v>
      </c>
    </row>
    <row r="248">
      <c r="A248" t="str">
        <v>327</v>
      </c>
      <c r="B248" t="str">
        <v>E10</v>
      </c>
      <c r="C248" t="str">
        <v>Monetization</v>
      </c>
      <c r="D248" t="str">
        <v>F10.10.T2</v>
      </c>
      <c r="E248" t="str">
        <v>Implementation</v>
      </c>
      <c r="F248" t="str">
        <v>MVP-P0</v>
      </c>
      <c r="G248" t="str">
        <v>CONFIRMED</v>
      </c>
      <c r="H248" t="str">
        <v>Mobile/Backend Engineer</v>
      </c>
      <c r="I248" t="str">
        <v>Product/Backend</v>
      </c>
      <c r="J248">
        <v>3</v>
      </c>
      <c r="K248">
        <v>18</v>
      </c>
      <c r="L248">
        <v>2.6999999999999997</v>
      </c>
      <c r="M248">
        <v>20.7</v>
      </c>
      <c r="N248" t="str">
        <v>Not Started</v>
      </c>
    </row>
    <row r="249">
      <c r="A249" t="str">
        <v>328</v>
      </c>
      <c r="B249" t="str">
        <v>E10</v>
      </c>
      <c r="C249" t="str">
        <v>Monetization</v>
      </c>
      <c r="D249" t="str">
        <v>F10.10.T3</v>
      </c>
      <c r="E249" t="str">
        <v>Validation &amp; QA</v>
      </c>
      <c r="F249" t="str">
        <v>MVP-P0</v>
      </c>
      <c r="G249" t="str">
        <v>CONFIRMED</v>
      </c>
      <c r="H249" t="str">
        <v>QA Engineer</v>
      </c>
      <c r="I249" t="str">
        <v>Product/Backend</v>
      </c>
      <c r="J249">
        <v>2</v>
      </c>
      <c r="K249">
        <v>12</v>
      </c>
      <c r="L249">
        <v>1.7999999999999998</v>
      </c>
      <c r="M249">
        <v>13.8</v>
      </c>
      <c r="N249" t="str">
        <v>Not Started</v>
      </c>
    </row>
    <row r="250">
      <c r="A250" t="str">
        <v>330</v>
      </c>
      <c r="B250" t="str">
        <v>E10</v>
      </c>
      <c r="C250" t="str">
        <v>Monetization</v>
      </c>
      <c r="D250" t="str">
        <v>F10.11.T1</v>
      </c>
      <c r="E250" t="str">
        <v>Analysis &amp; Design</v>
      </c>
      <c r="F250" t="str">
        <v>MVP-P0</v>
      </c>
      <c r="G250" t="str">
        <v>CONFIRMED SCOPE</v>
      </c>
      <c r="H250" t="str">
        <v>UI Engineer</v>
      </c>
      <c r="I250" t="str">
        <v>Product/Backend</v>
      </c>
      <c r="J250">
        <v>3</v>
      </c>
      <c r="K250">
        <v>18</v>
      </c>
      <c r="L250">
        <v>2.6999999999999997</v>
      </c>
      <c r="M250">
        <v>20.7</v>
      </c>
      <c r="N250" t="str">
        <v>Not Started</v>
      </c>
    </row>
    <row r="251">
      <c r="A251" t="str">
        <v>331</v>
      </c>
      <c r="B251" t="str">
        <v>E10</v>
      </c>
      <c r="C251" t="str">
        <v>Monetization</v>
      </c>
      <c r="D251" t="str">
        <v>F10.11.T2</v>
      </c>
      <c r="E251" t="str">
        <v>Implementation</v>
      </c>
      <c r="F251" t="str">
        <v>MVP-P0</v>
      </c>
      <c r="G251" t="str">
        <v>CONFIRMED SCOPE</v>
      </c>
      <c r="H251" t="str">
        <v>UI Engineer</v>
      </c>
      <c r="I251" t="str">
        <v>Product/Backend</v>
      </c>
      <c r="J251">
        <v>4</v>
      </c>
      <c r="K251">
        <v>24</v>
      </c>
      <c r="L251">
        <v>3.5999999999999996</v>
      </c>
      <c r="M251">
        <v>27.6</v>
      </c>
      <c r="N251" t="str">
        <v>Not Started</v>
      </c>
    </row>
    <row r="252">
      <c r="A252" t="str">
        <v>332</v>
      </c>
      <c r="B252" t="str">
        <v>E10</v>
      </c>
      <c r="C252" t="str">
        <v>Monetization</v>
      </c>
      <c r="D252" t="str">
        <v>F10.11.T3</v>
      </c>
      <c r="E252" t="str">
        <v>Validation &amp; QA</v>
      </c>
      <c r="F252" t="str">
        <v>MVP-P0</v>
      </c>
      <c r="G252" t="str">
        <v>CONFIRMED SCOPE</v>
      </c>
      <c r="H252" t="str">
        <v>QA Engineer</v>
      </c>
      <c r="I252" t="str">
        <v>Product/Backend</v>
      </c>
      <c r="J252">
        <v>3</v>
      </c>
      <c r="K252">
        <v>18</v>
      </c>
      <c r="L252">
        <v>2.6999999999999997</v>
      </c>
      <c r="M252">
        <v>20.7</v>
      </c>
      <c r="N252" t="str">
        <v>Not Started</v>
      </c>
    </row>
    <row r="253">
      <c r="A253" t="str">
        <v>334</v>
      </c>
      <c r="B253" t="str">
        <v>E11</v>
      </c>
      <c r="C253" t="str">
        <v>Identity, Account &amp; Cloud Save</v>
      </c>
      <c r="D253" t="str">
        <v>F11.1.T1</v>
      </c>
      <c r="E253" t="str">
        <v>Analysis &amp; Design</v>
      </c>
      <c r="F253" t="str">
        <v>MVP-P0</v>
      </c>
      <c r="G253" t="str">
        <v>CONFIRMED</v>
      </c>
      <c r="H253" t="str">
        <v>Backend/Mobile Engineer</v>
      </c>
      <c r="I253" t="str">
        <v>Backend</v>
      </c>
      <c r="J253">
        <v>3</v>
      </c>
      <c r="K253">
        <v>18</v>
      </c>
      <c r="L253">
        <v>2.6999999999999997</v>
      </c>
      <c r="M253">
        <v>20.7</v>
      </c>
      <c r="N253" t="str">
        <v>Not Started</v>
      </c>
    </row>
    <row r="254">
      <c r="A254" t="str">
        <v>335</v>
      </c>
      <c r="B254" t="str">
        <v>E11</v>
      </c>
      <c r="C254" t="str">
        <v>Identity, Account &amp; Cloud Save</v>
      </c>
      <c r="D254" t="str">
        <v>F11.1.T2</v>
      </c>
      <c r="E254" t="str">
        <v>Implementation</v>
      </c>
      <c r="F254" t="str">
        <v>MVP-P0</v>
      </c>
      <c r="G254" t="str">
        <v>CONFIRMED</v>
      </c>
      <c r="H254" t="str">
        <v>Backend/Mobile Engineer</v>
      </c>
      <c r="I254" t="str">
        <v>Backend</v>
      </c>
      <c r="J254">
        <v>4</v>
      </c>
      <c r="K254">
        <v>24</v>
      </c>
      <c r="L254">
        <v>3.5999999999999996</v>
      </c>
      <c r="M254">
        <v>27.6</v>
      </c>
      <c r="N254" t="str">
        <v>Not Started</v>
      </c>
    </row>
    <row r="255">
      <c r="A255" t="str">
        <v>336</v>
      </c>
      <c r="B255" t="str">
        <v>E11</v>
      </c>
      <c r="C255" t="str">
        <v>Identity, Account &amp; Cloud Save</v>
      </c>
      <c r="D255" t="str">
        <v>F11.1.T3</v>
      </c>
      <c r="E255" t="str">
        <v>Validation &amp; QA</v>
      </c>
      <c r="F255" t="str">
        <v>MVP-P0</v>
      </c>
      <c r="G255" t="str">
        <v>CONFIRMED</v>
      </c>
      <c r="H255" t="str">
        <v>QA Engineer</v>
      </c>
      <c r="I255" t="str">
        <v>Backend</v>
      </c>
      <c r="J255">
        <v>3</v>
      </c>
      <c r="K255">
        <v>18</v>
      </c>
      <c r="L255">
        <v>2.6999999999999997</v>
      </c>
      <c r="M255">
        <v>20.7</v>
      </c>
      <c r="N255" t="str">
        <v>Not Started</v>
      </c>
    </row>
    <row r="256">
      <c r="A256" t="str">
        <v>338</v>
      </c>
      <c r="B256" t="str">
        <v>E11</v>
      </c>
      <c r="C256" t="str">
        <v>Identity, Account &amp; Cloud Save</v>
      </c>
      <c r="D256" t="str">
        <v>F11.2.T1</v>
      </c>
      <c r="E256" t="str">
        <v>Analysis &amp; Design</v>
      </c>
      <c r="F256" t="str">
        <v>MVP-P0</v>
      </c>
      <c r="G256" t="str">
        <v>CONFIRMED</v>
      </c>
      <c r="H256" t="str">
        <v>Backend Engineer</v>
      </c>
      <c r="I256" t="str">
        <v>Backend</v>
      </c>
      <c r="J256">
        <v>3</v>
      </c>
      <c r="K256">
        <v>18</v>
      </c>
      <c r="L256">
        <v>2.6999999999999997</v>
      </c>
      <c r="M256">
        <v>20.7</v>
      </c>
      <c r="N256" t="str">
        <v>Not Started</v>
      </c>
    </row>
    <row r="257">
      <c r="A257" t="str">
        <v>339</v>
      </c>
      <c r="B257" t="str">
        <v>E11</v>
      </c>
      <c r="C257" t="str">
        <v>Identity, Account &amp; Cloud Save</v>
      </c>
      <c r="D257" t="str">
        <v>F11.2.T2</v>
      </c>
      <c r="E257" t="str">
        <v>Implementation</v>
      </c>
      <c r="F257" t="str">
        <v>MVP-P0</v>
      </c>
      <c r="G257" t="str">
        <v>CONFIRMED</v>
      </c>
      <c r="H257" t="str">
        <v>Backend Engineer</v>
      </c>
      <c r="I257" t="str">
        <v>Backend</v>
      </c>
      <c r="J257">
        <v>4</v>
      </c>
      <c r="K257">
        <v>24</v>
      </c>
      <c r="L257">
        <v>3.5999999999999996</v>
      </c>
      <c r="M257">
        <v>27.6</v>
      </c>
      <c r="N257" t="str">
        <v>Not Started</v>
      </c>
    </row>
    <row r="258">
      <c r="A258" t="str">
        <v>340</v>
      </c>
      <c r="B258" t="str">
        <v>E11</v>
      </c>
      <c r="C258" t="str">
        <v>Identity, Account &amp; Cloud Save</v>
      </c>
      <c r="D258" t="str">
        <v>F11.2.T3</v>
      </c>
      <c r="E258" t="str">
        <v>Validation &amp; QA</v>
      </c>
      <c r="F258" t="str">
        <v>MVP-P0</v>
      </c>
      <c r="G258" t="str">
        <v>CONFIRMED</v>
      </c>
      <c r="H258" t="str">
        <v>QA Engineer</v>
      </c>
      <c r="I258" t="str">
        <v>Backend</v>
      </c>
      <c r="J258">
        <v>3</v>
      </c>
      <c r="K258">
        <v>18</v>
      </c>
      <c r="L258">
        <v>2.6999999999999997</v>
      </c>
      <c r="M258">
        <v>20.7</v>
      </c>
      <c r="N258" t="str">
        <v>Not Started</v>
      </c>
    </row>
    <row r="259">
      <c r="A259" t="str">
        <v>342</v>
      </c>
      <c r="B259" t="str">
        <v>E11</v>
      </c>
      <c r="C259" t="str">
        <v>Identity, Account &amp; Cloud Save</v>
      </c>
      <c r="D259" t="str">
        <v>F11.3.T1</v>
      </c>
      <c r="E259" t="str">
        <v>Analysis &amp; Design</v>
      </c>
      <c r="F259" t="str">
        <v>MVP-P0</v>
      </c>
      <c r="G259" t="str">
        <v>CONFIRMED</v>
      </c>
      <c r="H259" t="str">
        <v>Mobile/Backend Engineer</v>
      </c>
      <c r="I259" t="str">
        <v>Backend</v>
      </c>
      <c r="J259">
        <v>3</v>
      </c>
      <c r="K259">
        <v>18</v>
      </c>
      <c r="L259">
        <v>2.6999999999999997</v>
      </c>
      <c r="M259">
        <v>20.7</v>
      </c>
      <c r="N259" t="str">
        <v>Not Started</v>
      </c>
    </row>
    <row r="260">
      <c r="A260" t="str">
        <v>343</v>
      </c>
      <c r="B260" t="str">
        <v>E11</v>
      </c>
      <c r="C260" t="str">
        <v>Identity, Account &amp; Cloud Save</v>
      </c>
      <c r="D260" t="str">
        <v>F11.3.T2</v>
      </c>
      <c r="E260" t="str">
        <v>Implementation</v>
      </c>
      <c r="F260" t="str">
        <v>MVP-P0</v>
      </c>
      <c r="G260" t="str">
        <v>CONFIRMED</v>
      </c>
      <c r="H260" t="str">
        <v>Mobile/Backend Engineer</v>
      </c>
      <c r="I260" t="str">
        <v>Backend</v>
      </c>
      <c r="J260">
        <v>4</v>
      </c>
      <c r="K260">
        <v>24</v>
      </c>
      <c r="L260">
        <v>3.5999999999999996</v>
      </c>
      <c r="M260">
        <v>27.6</v>
      </c>
      <c r="N260" t="str">
        <v>Not Started</v>
      </c>
    </row>
    <row r="261">
      <c r="A261" t="str">
        <v>344</v>
      </c>
      <c r="B261" t="str">
        <v>E11</v>
      </c>
      <c r="C261" t="str">
        <v>Identity, Account &amp; Cloud Save</v>
      </c>
      <c r="D261" t="str">
        <v>F11.3.T3</v>
      </c>
      <c r="E261" t="str">
        <v>Validation &amp; QA</v>
      </c>
      <c r="F261" t="str">
        <v>MVP-P0</v>
      </c>
      <c r="G261" t="str">
        <v>CONFIRMED</v>
      </c>
      <c r="H261" t="str">
        <v>QA Engineer</v>
      </c>
      <c r="I261" t="str">
        <v>Backend</v>
      </c>
      <c r="J261">
        <v>3</v>
      </c>
      <c r="K261">
        <v>18</v>
      </c>
      <c r="L261">
        <v>2.6999999999999997</v>
      </c>
      <c r="M261">
        <v>20.7</v>
      </c>
      <c r="N261" t="str">
        <v>Not Started</v>
      </c>
    </row>
    <row r="262">
      <c r="A262" t="str">
        <v>346</v>
      </c>
      <c r="B262" t="str">
        <v>E11</v>
      </c>
      <c r="C262" t="str">
        <v>Identity, Account &amp; Cloud Save</v>
      </c>
      <c r="D262" t="str">
        <v>F11.4.T1</v>
      </c>
      <c r="E262" t="str">
        <v>Analysis &amp; Design</v>
      </c>
      <c r="F262" t="str">
        <v>MVP-P0</v>
      </c>
      <c r="G262" t="str">
        <v>CONFIRMED</v>
      </c>
      <c r="H262" t="str">
        <v>Mobile/Backend Engineer</v>
      </c>
      <c r="I262" t="str">
        <v>Backend</v>
      </c>
      <c r="J262">
        <v>3</v>
      </c>
      <c r="K262">
        <v>18</v>
      </c>
      <c r="L262">
        <v>2.6999999999999997</v>
      </c>
      <c r="M262">
        <v>20.7</v>
      </c>
      <c r="N262" t="str">
        <v>Not Started</v>
      </c>
    </row>
    <row r="263">
      <c r="A263" t="str">
        <v>347</v>
      </c>
      <c r="B263" t="str">
        <v>E11</v>
      </c>
      <c r="C263" t="str">
        <v>Identity, Account &amp; Cloud Save</v>
      </c>
      <c r="D263" t="str">
        <v>F11.4.T2</v>
      </c>
      <c r="E263" t="str">
        <v>Implementation</v>
      </c>
      <c r="F263" t="str">
        <v>MVP-P0</v>
      </c>
      <c r="G263" t="str">
        <v>CONFIRMED</v>
      </c>
      <c r="H263" t="str">
        <v>Mobile/Backend Engineer</v>
      </c>
      <c r="I263" t="str">
        <v>Backend</v>
      </c>
      <c r="J263">
        <v>4</v>
      </c>
      <c r="K263">
        <v>24</v>
      </c>
      <c r="L263">
        <v>3.5999999999999996</v>
      </c>
      <c r="M263">
        <v>27.6</v>
      </c>
      <c r="N263" t="str">
        <v>Not Started</v>
      </c>
    </row>
    <row r="264">
      <c r="A264" t="str">
        <v>348</v>
      </c>
      <c r="B264" t="str">
        <v>E11</v>
      </c>
      <c r="C264" t="str">
        <v>Identity, Account &amp; Cloud Save</v>
      </c>
      <c r="D264" t="str">
        <v>F11.4.T3</v>
      </c>
      <c r="E264" t="str">
        <v>Validation &amp; QA</v>
      </c>
      <c r="F264" t="str">
        <v>MVP-P0</v>
      </c>
      <c r="G264" t="str">
        <v>CONFIRMED</v>
      </c>
      <c r="H264" t="str">
        <v>QA Engineer</v>
      </c>
      <c r="I264" t="str">
        <v>Backend</v>
      </c>
      <c r="J264">
        <v>3</v>
      </c>
      <c r="K264">
        <v>18</v>
      </c>
      <c r="L264">
        <v>2.6999999999999997</v>
      </c>
      <c r="M264">
        <v>20.7</v>
      </c>
      <c r="N264" t="str">
        <v>Not Started</v>
      </c>
    </row>
    <row r="265">
      <c r="A265" t="str">
        <v>350</v>
      </c>
      <c r="B265" t="str">
        <v>E11</v>
      </c>
      <c r="C265" t="str">
        <v>Identity, Account &amp; Cloud Save</v>
      </c>
      <c r="D265" t="str">
        <v>F11.5.T1</v>
      </c>
      <c r="E265" t="str">
        <v>Analysis &amp; Design</v>
      </c>
      <c r="F265" t="str">
        <v>MVP-P0</v>
      </c>
      <c r="G265" t="str">
        <v>PROPOSED</v>
      </c>
      <c r="H265" t="str">
        <v>Backend Engineer</v>
      </c>
      <c r="I265" t="str">
        <v>Backend</v>
      </c>
      <c r="J265">
        <v>3</v>
      </c>
      <c r="K265">
        <v>18</v>
      </c>
      <c r="L265">
        <v>2.6999999999999997</v>
      </c>
      <c r="M265">
        <v>20.7</v>
      </c>
      <c r="N265" t="str">
        <v>Not Started</v>
      </c>
    </row>
    <row r="266">
      <c r="A266" t="str">
        <v>351</v>
      </c>
      <c r="B266" t="str">
        <v>E11</v>
      </c>
      <c r="C266" t="str">
        <v>Identity, Account &amp; Cloud Save</v>
      </c>
      <c r="D266" t="str">
        <v>F11.5.T2</v>
      </c>
      <c r="E266" t="str">
        <v>Implementation</v>
      </c>
      <c r="F266" t="str">
        <v>MVP-P0</v>
      </c>
      <c r="G266" t="str">
        <v>PROPOSED</v>
      </c>
      <c r="H266" t="str">
        <v>Backend Engineer</v>
      </c>
      <c r="I266" t="str">
        <v>Backend</v>
      </c>
      <c r="J266">
        <v>4</v>
      </c>
      <c r="K266">
        <v>24</v>
      </c>
      <c r="L266">
        <v>3.5999999999999996</v>
      </c>
      <c r="M266">
        <v>27.6</v>
      </c>
      <c r="N266" t="str">
        <v>Not Started</v>
      </c>
    </row>
    <row r="267">
      <c r="A267" t="str">
        <v>352</v>
      </c>
      <c r="B267" t="str">
        <v>E11</v>
      </c>
      <c r="C267" t="str">
        <v>Identity, Account &amp; Cloud Save</v>
      </c>
      <c r="D267" t="str">
        <v>F11.5.T3</v>
      </c>
      <c r="E267" t="str">
        <v>Validation &amp; QA</v>
      </c>
      <c r="F267" t="str">
        <v>MVP-P0</v>
      </c>
      <c r="G267" t="str">
        <v>PROPOSED</v>
      </c>
      <c r="H267" t="str">
        <v>QA Engineer</v>
      </c>
      <c r="I267" t="str">
        <v>Backend</v>
      </c>
      <c r="J267">
        <v>3</v>
      </c>
      <c r="K267">
        <v>18</v>
      </c>
      <c r="L267">
        <v>2.6999999999999997</v>
      </c>
      <c r="M267">
        <v>20.7</v>
      </c>
      <c r="N267" t="str">
        <v>Not Started</v>
      </c>
    </row>
    <row r="268">
      <c r="A268" t="str">
        <v>354</v>
      </c>
      <c r="B268" t="str">
        <v>E11</v>
      </c>
      <c r="C268" t="str">
        <v>Identity, Account &amp; Cloud Save</v>
      </c>
      <c r="D268" t="str">
        <v>F11.6.T1</v>
      </c>
      <c r="E268" t="str">
        <v>Analysis &amp; Design</v>
      </c>
      <c r="F268" t="str">
        <v>MVP-P0</v>
      </c>
      <c r="G268" t="str">
        <v>PROPOSED</v>
      </c>
      <c r="H268" t="str">
        <v>Backend Engineer</v>
      </c>
      <c r="I268" t="str">
        <v>Backend</v>
      </c>
      <c r="J268">
        <v>3</v>
      </c>
      <c r="K268">
        <v>18</v>
      </c>
      <c r="L268">
        <v>2.6999999999999997</v>
      </c>
      <c r="M268">
        <v>20.7</v>
      </c>
      <c r="N268" t="str">
        <v>Not Started</v>
      </c>
    </row>
    <row r="269">
      <c r="A269" t="str">
        <v>355</v>
      </c>
      <c r="B269" t="str">
        <v>E11</v>
      </c>
      <c r="C269" t="str">
        <v>Identity, Account &amp; Cloud Save</v>
      </c>
      <c r="D269" t="str">
        <v>F11.6.T2</v>
      </c>
      <c r="E269" t="str">
        <v>Implementation</v>
      </c>
      <c r="F269" t="str">
        <v>MVP-P0</v>
      </c>
      <c r="G269" t="str">
        <v>PROPOSED</v>
      </c>
      <c r="H269" t="str">
        <v>Backend Engineer</v>
      </c>
      <c r="I269" t="str">
        <v>Backend</v>
      </c>
      <c r="J269">
        <v>4</v>
      </c>
      <c r="K269">
        <v>24</v>
      </c>
      <c r="L269">
        <v>3.5999999999999996</v>
      </c>
      <c r="M269">
        <v>27.6</v>
      </c>
      <c r="N269" t="str">
        <v>Not Started</v>
      </c>
    </row>
    <row r="270">
      <c r="A270" t="str">
        <v>356</v>
      </c>
      <c r="B270" t="str">
        <v>E11</v>
      </c>
      <c r="C270" t="str">
        <v>Identity, Account &amp; Cloud Save</v>
      </c>
      <c r="D270" t="str">
        <v>F11.6.T3</v>
      </c>
      <c r="E270" t="str">
        <v>Validation &amp; QA</v>
      </c>
      <c r="F270" t="str">
        <v>MVP-P0</v>
      </c>
      <c r="G270" t="str">
        <v>PROPOSED</v>
      </c>
      <c r="H270" t="str">
        <v>QA Engineer</v>
      </c>
      <c r="I270" t="str">
        <v>Backend</v>
      </c>
      <c r="J270">
        <v>3</v>
      </c>
      <c r="K270">
        <v>18</v>
      </c>
      <c r="L270">
        <v>2.6999999999999997</v>
      </c>
      <c r="M270">
        <v>20.7</v>
      </c>
      <c r="N270" t="str">
        <v>Not Started</v>
      </c>
    </row>
    <row r="271">
      <c r="A271" t="str">
        <v>358</v>
      </c>
      <c r="B271" t="str">
        <v>E11</v>
      </c>
      <c r="C271" t="str">
        <v>Identity, Account &amp; Cloud Save</v>
      </c>
      <c r="D271" t="str">
        <v>F11.7.T1</v>
      </c>
      <c r="E271" t="str">
        <v>Analysis &amp; Design</v>
      </c>
      <c r="F271" t="str">
        <v>MVP-P0</v>
      </c>
      <c r="G271" t="str">
        <v>TBD</v>
      </c>
      <c r="H271" t="str">
        <v>Product Engineer</v>
      </c>
      <c r="I271" t="str">
        <v>Backend</v>
      </c>
      <c r="J271">
        <v>3</v>
      </c>
      <c r="K271">
        <v>18</v>
      </c>
      <c r="L271">
        <v>2.6999999999999997</v>
      </c>
      <c r="M271">
        <v>20.7</v>
      </c>
      <c r="N271" t="str">
        <v>Not Started</v>
      </c>
    </row>
    <row r="272">
      <c r="A272" t="str">
        <v>359</v>
      </c>
      <c r="B272" t="str">
        <v>E11</v>
      </c>
      <c r="C272" t="str">
        <v>Identity, Account &amp; Cloud Save</v>
      </c>
      <c r="D272" t="str">
        <v>F11.7.T2</v>
      </c>
      <c r="E272" t="str">
        <v>Implementation</v>
      </c>
      <c r="F272" t="str">
        <v>MVP-P0</v>
      </c>
      <c r="G272" t="str">
        <v>TBD</v>
      </c>
      <c r="H272" t="str">
        <v>Product Engineer</v>
      </c>
      <c r="I272" t="str">
        <v>Backend</v>
      </c>
      <c r="J272">
        <v>4</v>
      </c>
      <c r="K272">
        <v>24</v>
      </c>
      <c r="L272">
        <v>3.5999999999999996</v>
      </c>
      <c r="M272">
        <v>27.6</v>
      </c>
      <c r="N272" t="str">
        <v>Not Started</v>
      </c>
    </row>
    <row r="273">
      <c r="A273" t="str">
        <v>360</v>
      </c>
      <c r="B273" t="str">
        <v>E11</v>
      </c>
      <c r="C273" t="str">
        <v>Identity, Account &amp; Cloud Save</v>
      </c>
      <c r="D273" t="str">
        <v>F11.7.T3</v>
      </c>
      <c r="E273" t="str">
        <v>Validation &amp; QA</v>
      </c>
      <c r="F273" t="str">
        <v>MVP-P0</v>
      </c>
      <c r="G273" t="str">
        <v>TBD</v>
      </c>
      <c r="H273" t="str">
        <v>QA Engineer</v>
      </c>
      <c r="I273" t="str">
        <v>Backend</v>
      </c>
      <c r="J273">
        <v>3</v>
      </c>
      <c r="K273">
        <v>18</v>
      </c>
      <c r="L273">
        <v>2.6999999999999997</v>
      </c>
      <c r="M273">
        <v>20.7</v>
      </c>
      <c r="N273" t="str">
        <v>Not Started</v>
      </c>
    </row>
    <row r="274">
      <c r="A274" t="str">
        <v>362</v>
      </c>
      <c r="B274" t="str">
        <v>E11</v>
      </c>
      <c r="C274" t="str">
        <v>Identity, Account &amp; Cloud Save</v>
      </c>
      <c r="D274" t="str">
        <v>F11.8.T1</v>
      </c>
      <c r="E274" t="str">
        <v>Analysis &amp; Design</v>
      </c>
      <c r="F274" t="str">
        <v>MVP-P0</v>
      </c>
      <c r="G274" t="str">
        <v>PROPOSED</v>
      </c>
      <c r="H274" t="str">
        <v>Mobile Engineer</v>
      </c>
      <c r="I274" t="str">
        <v>Backend</v>
      </c>
      <c r="J274">
        <v>3</v>
      </c>
      <c r="K274">
        <v>18</v>
      </c>
      <c r="L274">
        <v>2.6999999999999997</v>
      </c>
      <c r="M274">
        <v>20.7</v>
      </c>
      <c r="N274" t="str">
        <v>Not Started</v>
      </c>
    </row>
    <row r="275">
      <c r="A275" t="str">
        <v>363</v>
      </c>
      <c r="B275" t="str">
        <v>E11</v>
      </c>
      <c r="C275" t="str">
        <v>Identity, Account &amp; Cloud Save</v>
      </c>
      <c r="D275" t="str">
        <v>F11.8.T2</v>
      </c>
      <c r="E275" t="str">
        <v>Implementation</v>
      </c>
      <c r="F275" t="str">
        <v>MVP-P0</v>
      </c>
      <c r="G275" t="str">
        <v>PROPOSED</v>
      </c>
      <c r="H275" t="str">
        <v>Mobile Engineer</v>
      </c>
      <c r="I275" t="str">
        <v>Backend</v>
      </c>
      <c r="J275">
        <v>4</v>
      </c>
      <c r="K275">
        <v>24</v>
      </c>
      <c r="L275">
        <v>3.5999999999999996</v>
      </c>
      <c r="M275">
        <v>27.6</v>
      </c>
      <c r="N275" t="str">
        <v>Not Started</v>
      </c>
    </row>
    <row r="276">
      <c r="A276" t="str">
        <v>364</v>
      </c>
      <c r="B276" t="str">
        <v>E11</v>
      </c>
      <c r="C276" t="str">
        <v>Identity, Account &amp; Cloud Save</v>
      </c>
      <c r="D276" t="str">
        <v>F11.8.T3</v>
      </c>
      <c r="E276" t="str">
        <v>Validation &amp; QA</v>
      </c>
      <c r="F276" t="str">
        <v>MVP-P0</v>
      </c>
      <c r="G276" t="str">
        <v>PROPOSED</v>
      </c>
      <c r="H276" t="str">
        <v>QA Engineer</v>
      </c>
      <c r="I276" t="str">
        <v>Backend</v>
      </c>
      <c r="J276">
        <v>3</v>
      </c>
      <c r="K276">
        <v>18</v>
      </c>
      <c r="L276">
        <v>2.6999999999999997</v>
      </c>
      <c r="M276">
        <v>20.7</v>
      </c>
      <c r="N276" t="str">
        <v>Not Started</v>
      </c>
    </row>
    <row r="277">
      <c r="A277" t="str">
        <v>366</v>
      </c>
      <c r="B277" t="str">
        <v>E12</v>
      </c>
      <c r="C277" t="str">
        <v>Backend Platform (Firebase)</v>
      </c>
      <c r="D277" t="str">
        <v>F12.1.T1</v>
      </c>
      <c r="E277" t="str">
        <v>Analysis &amp; Design</v>
      </c>
      <c r="F277" t="str">
        <v>MVP-P0</v>
      </c>
      <c r="G277" t="str">
        <v>CONFIRMED</v>
      </c>
      <c r="H277" t="str">
        <v>Backend Engineer</v>
      </c>
      <c r="I277" t="str">
        <v>Backend/Cloud</v>
      </c>
      <c r="J277">
        <v>5</v>
      </c>
      <c r="K277">
        <v>30</v>
      </c>
      <c r="L277">
        <v>4.5</v>
      </c>
      <c r="M277">
        <v>34.5</v>
      </c>
      <c r="N277" t="str">
        <v>Not Started</v>
      </c>
    </row>
    <row r="278">
      <c r="A278" t="str">
        <v>367</v>
      </c>
      <c r="B278" t="str">
        <v>E12</v>
      </c>
      <c r="C278" t="str">
        <v>Backend Platform (Firebase)</v>
      </c>
      <c r="D278" t="str">
        <v>F12.1.T2</v>
      </c>
      <c r="E278" t="str">
        <v>Implementation</v>
      </c>
      <c r="F278" t="str">
        <v>MVP-P0</v>
      </c>
      <c r="G278" t="str">
        <v>CONFIRMED</v>
      </c>
      <c r="H278" t="str">
        <v>Backend Engineer</v>
      </c>
      <c r="I278" t="str">
        <v>Backend/Cloud</v>
      </c>
      <c r="J278">
        <v>7</v>
      </c>
      <c r="K278">
        <v>42</v>
      </c>
      <c r="L278">
        <v>6.3</v>
      </c>
      <c r="M278">
        <v>48.3</v>
      </c>
      <c r="N278" t="str">
        <v>Not Started</v>
      </c>
    </row>
    <row r="279">
      <c r="A279" t="str">
        <v>368</v>
      </c>
      <c r="B279" t="str">
        <v>E12</v>
      </c>
      <c r="C279" t="str">
        <v>Backend Platform (Firebase)</v>
      </c>
      <c r="D279" t="str">
        <v>F12.1.T3</v>
      </c>
      <c r="E279" t="str">
        <v>Validation &amp; QA</v>
      </c>
      <c r="F279" t="str">
        <v>MVP-P0</v>
      </c>
      <c r="G279" t="str">
        <v>CONFIRMED</v>
      </c>
      <c r="H279" t="str">
        <v>QA Engineer</v>
      </c>
      <c r="I279" t="str">
        <v>Backend/Cloud</v>
      </c>
      <c r="J279">
        <v>5</v>
      </c>
      <c r="K279">
        <v>30</v>
      </c>
      <c r="L279">
        <v>4.5</v>
      </c>
      <c r="M279">
        <v>34.5</v>
      </c>
      <c r="N279" t="str">
        <v>Not Started</v>
      </c>
    </row>
    <row r="280">
      <c r="A280" t="str">
        <v>370</v>
      </c>
      <c r="B280" t="str">
        <v>E12</v>
      </c>
      <c r="C280" t="str">
        <v>Backend Platform (Firebase)</v>
      </c>
      <c r="D280" t="str">
        <v>F12.2.T1</v>
      </c>
      <c r="E280" t="str">
        <v>Analysis &amp; Design</v>
      </c>
      <c r="F280" t="str">
        <v>MVP-P0</v>
      </c>
      <c r="G280" t="str">
        <v>CONFIRMED</v>
      </c>
      <c r="H280" t="str">
        <v>Backend Engineer</v>
      </c>
      <c r="I280" t="str">
        <v>Backend/Cloud</v>
      </c>
      <c r="J280">
        <v>3</v>
      </c>
      <c r="K280">
        <v>18</v>
      </c>
      <c r="L280">
        <v>2.6999999999999997</v>
      </c>
      <c r="M280">
        <v>20.7</v>
      </c>
      <c r="N280" t="str">
        <v>Not Started</v>
      </c>
    </row>
    <row r="281">
      <c r="A281" t="str">
        <v>371</v>
      </c>
      <c r="B281" t="str">
        <v>E12</v>
      </c>
      <c r="C281" t="str">
        <v>Backend Platform (Firebase)</v>
      </c>
      <c r="D281" t="str">
        <v>F12.2.T2</v>
      </c>
      <c r="E281" t="str">
        <v>Implementation</v>
      </c>
      <c r="F281" t="str">
        <v>MVP-P0</v>
      </c>
      <c r="G281" t="str">
        <v>CONFIRMED</v>
      </c>
      <c r="H281" t="str">
        <v>Backend Engineer</v>
      </c>
      <c r="I281" t="str">
        <v>Backend/Cloud</v>
      </c>
      <c r="J281">
        <v>4</v>
      </c>
      <c r="K281">
        <v>24</v>
      </c>
      <c r="L281">
        <v>3.5999999999999996</v>
      </c>
      <c r="M281">
        <v>27.6</v>
      </c>
      <c r="N281" t="str">
        <v>Not Started</v>
      </c>
    </row>
    <row r="282">
      <c r="A282" t="str">
        <v>372</v>
      </c>
      <c r="B282" t="str">
        <v>E12</v>
      </c>
      <c r="C282" t="str">
        <v>Backend Platform (Firebase)</v>
      </c>
      <c r="D282" t="str">
        <v>F12.2.T3</v>
      </c>
      <c r="E282" t="str">
        <v>Validation &amp; QA</v>
      </c>
      <c r="F282" t="str">
        <v>MVP-P0</v>
      </c>
      <c r="G282" t="str">
        <v>CONFIRMED</v>
      </c>
      <c r="H282" t="str">
        <v>QA Engineer</v>
      </c>
      <c r="I282" t="str">
        <v>Backend/Cloud</v>
      </c>
      <c r="J282">
        <v>3</v>
      </c>
      <c r="K282">
        <v>18</v>
      </c>
      <c r="L282">
        <v>2.6999999999999997</v>
      </c>
      <c r="M282">
        <v>20.7</v>
      </c>
      <c r="N282" t="str">
        <v>Not Started</v>
      </c>
    </row>
    <row r="283">
      <c r="A283" t="str">
        <v>374</v>
      </c>
      <c r="B283" t="str">
        <v>E12</v>
      </c>
      <c r="C283" t="str">
        <v>Backend Platform (Firebase)</v>
      </c>
      <c r="D283" t="str">
        <v>F12.3.T1</v>
      </c>
      <c r="E283" t="str">
        <v>Analysis &amp; Design</v>
      </c>
      <c r="F283" t="str">
        <v>MVP-P0</v>
      </c>
      <c r="G283" t="str">
        <v>CONFIRMED</v>
      </c>
      <c r="H283" t="str">
        <v>Backend Engineer</v>
      </c>
      <c r="I283" t="str">
        <v>Backend/Cloud</v>
      </c>
      <c r="J283">
        <v>5</v>
      </c>
      <c r="K283">
        <v>30</v>
      </c>
      <c r="L283">
        <v>4.5</v>
      </c>
      <c r="M283">
        <v>34.5</v>
      </c>
      <c r="N283" t="str">
        <v>Not Started</v>
      </c>
    </row>
    <row r="284">
      <c r="A284" t="str">
        <v>375</v>
      </c>
      <c r="B284" t="str">
        <v>E12</v>
      </c>
      <c r="C284" t="str">
        <v>Backend Platform (Firebase)</v>
      </c>
      <c r="D284" t="str">
        <v>F12.3.T2</v>
      </c>
      <c r="E284" t="str">
        <v>Implementation</v>
      </c>
      <c r="F284" t="str">
        <v>MVP-P0</v>
      </c>
      <c r="G284" t="str">
        <v>CONFIRMED</v>
      </c>
      <c r="H284" t="str">
        <v>Backend Engineer</v>
      </c>
      <c r="I284" t="str">
        <v>Backend/Cloud</v>
      </c>
      <c r="J284">
        <v>7</v>
      </c>
      <c r="K284">
        <v>42</v>
      </c>
      <c r="L284">
        <v>6.3</v>
      </c>
      <c r="M284">
        <v>48.3</v>
      </c>
      <c r="N284" t="str">
        <v>Not Started</v>
      </c>
    </row>
    <row r="285">
      <c r="A285" t="str">
        <v>376</v>
      </c>
      <c r="B285" t="str">
        <v>E12</v>
      </c>
      <c r="C285" t="str">
        <v>Backend Platform (Firebase)</v>
      </c>
      <c r="D285" t="str">
        <v>F12.3.T3</v>
      </c>
      <c r="E285" t="str">
        <v>Validation &amp; QA</v>
      </c>
      <c r="F285" t="str">
        <v>MVP-P0</v>
      </c>
      <c r="G285" t="str">
        <v>CONFIRMED</v>
      </c>
      <c r="H285" t="str">
        <v>QA Engineer</v>
      </c>
      <c r="I285" t="str">
        <v>Backend/Cloud</v>
      </c>
      <c r="J285">
        <v>5</v>
      </c>
      <c r="K285">
        <v>30</v>
      </c>
      <c r="L285">
        <v>4.5</v>
      </c>
      <c r="M285">
        <v>34.5</v>
      </c>
      <c r="N285" t="str">
        <v>Not Started</v>
      </c>
    </row>
    <row r="286">
      <c r="A286" t="str">
        <v>378</v>
      </c>
      <c r="B286" t="str">
        <v>E12</v>
      </c>
      <c r="C286" t="str">
        <v>Backend Platform (Firebase)</v>
      </c>
      <c r="D286" t="str">
        <v>F12.4.T1</v>
      </c>
      <c r="E286" t="str">
        <v>Analysis &amp; Design</v>
      </c>
      <c r="F286" t="str">
        <v>MVP-P0</v>
      </c>
      <c r="G286" t="str">
        <v>CONFIRMED</v>
      </c>
      <c r="H286" t="str">
        <v>Backend Engineer</v>
      </c>
      <c r="I286" t="str">
        <v>Backend/Cloud</v>
      </c>
      <c r="J286">
        <v>5</v>
      </c>
      <c r="K286">
        <v>30</v>
      </c>
      <c r="L286">
        <v>4.5</v>
      </c>
      <c r="M286">
        <v>34.5</v>
      </c>
      <c r="N286" t="str">
        <v>Not Started</v>
      </c>
    </row>
    <row r="287">
      <c r="A287" t="str">
        <v>379</v>
      </c>
      <c r="B287" t="str">
        <v>E12</v>
      </c>
      <c r="C287" t="str">
        <v>Backend Platform (Firebase)</v>
      </c>
      <c r="D287" t="str">
        <v>F12.4.T2</v>
      </c>
      <c r="E287" t="str">
        <v>Implementation</v>
      </c>
      <c r="F287" t="str">
        <v>MVP-P0</v>
      </c>
      <c r="G287" t="str">
        <v>CONFIRMED</v>
      </c>
      <c r="H287" t="str">
        <v>Backend Engineer</v>
      </c>
      <c r="I287" t="str">
        <v>Backend/Cloud</v>
      </c>
      <c r="J287">
        <v>7</v>
      </c>
      <c r="K287">
        <v>42</v>
      </c>
      <c r="L287">
        <v>6.3</v>
      </c>
      <c r="M287">
        <v>48.3</v>
      </c>
      <c r="N287" t="str">
        <v>Not Started</v>
      </c>
    </row>
    <row r="288">
      <c r="A288" t="str">
        <v>380</v>
      </c>
      <c r="B288" t="str">
        <v>E12</v>
      </c>
      <c r="C288" t="str">
        <v>Backend Platform (Firebase)</v>
      </c>
      <c r="D288" t="str">
        <v>F12.4.T3</v>
      </c>
      <c r="E288" t="str">
        <v>Validation &amp; QA</v>
      </c>
      <c r="F288" t="str">
        <v>MVP-P0</v>
      </c>
      <c r="G288" t="str">
        <v>CONFIRMED</v>
      </c>
      <c r="H288" t="str">
        <v>QA Engineer</v>
      </c>
      <c r="I288" t="str">
        <v>Backend/Cloud</v>
      </c>
      <c r="J288">
        <v>5</v>
      </c>
      <c r="K288">
        <v>30</v>
      </c>
      <c r="L288">
        <v>4.5</v>
      </c>
      <c r="M288">
        <v>34.5</v>
      </c>
      <c r="N288" t="str">
        <v>Not Started</v>
      </c>
    </row>
    <row r="289">
      <c r="A289" t="str">
        <v>382</v>
      </c>
      <c r="B289" t="str">
        <v>E12</v>
      </c>
      <c r="C289" t="str">
        <v>Backend Platform (Firebase)</v>
      </c>
      <c r="D289" t="str">
        <v>F12.5.T1</v>
      </c>
      <c r="E289" t="str">
        <v>Analysis &amp; Design</v>
      </c>
      <c r="F289" t="str">
        <v>MVP-P0</v>
      </c>
      <c r="G289" t="str">
        <v>CONFIRMED</v>
      </c>
      <c r="H289" t="str">
        <v>Backend Engineer</v>
      </c>
      <c r="I289" t="str">
        <v>Backend/Cloud</v>
      </c>
      <c r="J289">
        <v>3</v>
      </c>
      <c r="K289">
        <v>18</v>
      </c>
      <c r="L289">
        <v>2.6999999999999997</v>
      </c>
      <c r="M289">
        <v>20.7</v>
      </c>
      <c r="N289" t="str">
        <v>Not Started</v>
      </c>
    </row>
    <row r="290">
      <c r="A290" t="str">
        <v>383</v>
      </c>
      <c r="B290" t="str">
        <v>E12</v>
      </c>
      <c r="C290" t="str">
        <v>Backend Platform (Firebase)</v>
      </c>
      <c r="D290" t="str">
        <v>F12.5.T2</v>
      </c>
      <c r="E290" t="str">
        <v>Implementation</v>
      </c>
      <c r="F290" t="str">
        <v>MVP-P0</v>
      </c>
      <c r="G290" t="str">
        <v>CONFIRMED</v>
      </c>
      <c r="H290" t="str">
        <v>Backend Engineer</v>
      </c>
      <c r="I290" t="str">
        <v>Backend/Cloud</v>
      </c>
      <c r="J290">
        <v>4</v>
      </c>
      <c r="K290">
        <v>24</v>
      </c>
      <c r="L290">
        <v>3.5999999999999996</v>
      </c>
      <c r="M290">
        <v>27.6</v>
      </c>
      <c r="N290" t="str">
        <v>Not Started</v>
      </c>
    </row>
    <row r="291">
      <c r="A291" t="str">
        <v>384</v>
      </c>
      <c r="B291" t="str">
        <v>E12</v>
      </c>
      <c r="C291" t="str">
        <v>Backend Platform (Firebase)</v>
      </c>
      <c r="D291" t="str">
        <v>F12.5.T3</v>
      </c>
      <c r="E291" t="str">
        <v>Validation &amp; QA</v>
      </c>
      <c r="F291" t="str">
        <v>MVP-P0</v>
      </c>
      <c r="G291" t="str">
        <v>CONFIRMED</v>
      </c>
      <c r="H291" t="str">
        <v>QA Engineer</v>
      </c>
      <c r="I291" t="str">
        <v>Backend/Cloud</v>
      </c>
      <c r="J291">
        <v>3</v>
      </c>
      <c r="K291">
        <v>18</v>
      </c>
      <c r="L291">
        <v>2.6999999999999997</v>
      </c>
      <c r="M291">
        <v>20.7</v>
      </c>
      <c r="N291" t="str">
        <v>Not Started</v>
      </c>
    </row>
    <row r="292">
      <c r="A292" t="str">
        <v>386</v>
      </c>
      <c r="B292" t="str">
        <v>E12</v>
      </c>
      <c r="C292" t="str">
        <v>Backend Platform (Firebase)</v>
      </c>
      <c r="D292" t="str">
        <v>F12.6.T1</v>
      </c>
      <c r="E292" t="str">
        <v>Analysis &amp; Design</v>
      </c>
      <c r="F292" t="str">
        <v>MVP-P0</v>
      </c>
      <c r="G292" t="str">
        <v>CONFIRMED</v>
      </c>
      <c r="H292" t="str">
        <v>Backend Engineer</v>
      </c>
      <c r="I292" t="str">
        <v>Backend/Cloud</v>
      </c>
      <c r="J292">
        <v>2</v>
      </c>
      <c r="K292">
        <v>12</v>
      </c>
      <c r="L292">
        <v>1.7999999999999998</v>
      </c>
      <c r="M292">
        <v>13.8</v>
      </c>
      <c r="N292" t="str">
        <v>Not Started</v>
      </c>
    </row>
    <row r="293">
      <c r="A293" t="str">
        <v>387</v>
      </c>
      <c r="B293" t="str">
        <v>E12</v>
      </c>
      <c r="C293" t="str">
        <v>Backend Platform (Firebase)</v>
      </c>
      <c r="D293" t="str">
        <v>F12.6.T2</v>
      </c>
      <c r="E293" t="str">
        <v>Implementation</v>
      </c>
      <c r="F293" t="str">
        <v>MVP-P0</v>
      </c>
      <c r="G293" t="str">
        <v>CONFIRMED</v>
      </c>
      <c r="H293" t="str">
        <v>Backend Engineer</v>
      </c>
      <c r="I293" t="str">
        <v>Backend/Cloud</v>
      </c>
      <c r="J293">
        <v>3</v>
      </c>
      <c r="K293">
        <v>18</v>
      </c>
      <c r="L293">
        <v>2.6999999999999997</v>
      </c>
      <c r="M293">
        <v>20.7</v>
      </c>
      <c r="N293" t="str">
        <v>Not Started</v>
      </c>
    </row>
    <row r="294">
      <c r="A294" t="str">
        <v>388</v>
      </c>
      <c r="B294" t="str">
        <v>E12</v>
      </c>
      <c r="C294" t="str">
        <v>Backend Platform (Firebase)</v>
      </c>
      <c r="D294" t="str">
        <v>F12.6.T3</v>
      </c>
      <c r="E294" t="str">
        <v>Validation &amp; QA</v>
      </c>
      <c r="F294" t="str">
        <v>MVP-P0</v>
      </c>
      <c r="G294" t="str">
        <v>CONFIRMED</v>
      </c>
      <c r="H294" t="str">
        <v>QA Engineer</v>
      </c>
      <c r="I294" t="str">
        <v>Backend/Cloud</v>
      </c>
      <c r="J294">
        <v>2</v>
      </c>
      <c r="K294">
        <v>12</v>
      </c>
      <c r="L294">
        <v>1.7999999999999998</v>
      </c>
      <c r="M294">
        <v>13.8</v>
      </c>
      <c r="N294" t="str">
        <v>Not Started</v>
      </c>
    </row>
    <row r="295">
      <c r="A295" t="str">
        <v>390</v>
      </c>
      <c r="B295" t="str">
        <v>E12</v>
      </c>
      <c r="C295" t="str">
        <v>Backend Platform (Firebase)</v>
      </c>
      <c r="D295" t="str">
        <v>F12.7.T1</v>
      </c>
      <c r="E295" t="str">
        <v>Analysis &amp; Design</v>
      </c>
      <c r="F295" t="str">
        <v>MVP-P0</v>
      </c>
      <c r="G295" t="str">
        <v>CONFIRMED</v>
      </c>
      <c r="H295" t="str">
        <v>Backend Engineer</v>
      </c>
      <c r="I295" t="str">
        <v>Backend/Cloud</v>
      </c>
      <c r="J295">
        <v>3</v>
      </c>
      <c r="K295">
        <v>18</v>
      </c>
      <c r="L295">
        <v>2.6999999999999997</v>
      </c>
      <c r="M295">
        <v>20.7</v>
      </c>
      <c r="N295" t="str">
        <v>Not Started</v>
      </c>
    </row>
    <row r="296">
      <c r="A296" t="str">
        <v>391</v>
      </c>
      <c r="B296" t="str">
        <v>E12</v>
      </c>
      <c r="C296" t="str">
        <v>Backend Platform (Firebase)</v>
      </c>
      <c r="D296" t="str">
        <v>F12.7.T2</v>
      </c>
      <c r="E296" t="str">
        <v>Implementation</v>
      </c>
      <c r="F296" t="str">
        <v>MVP-P0</v>
      </c>
      <c r="G296" t="str">
        <v>CONFIRMED</v>
      </c>
      <c r="H296" t="str">
        <v>Backend Engineer</v>
      </c>
      <c r="I296" t="str">
        <v>Backend/Cloud</v>
      </c>
      <c r="J296">
        <v>4</v>
      </c>
      <c r="K296">
        <v>24</v>
      </c>
      <c r="L296">
        <v>3.5999999999999996</v>
      </c>
      <c r="M296">
        <v>27.6</v>
      </c>
      <c r="N296" t="str">
        <v>Not Started</v>
      </c>
    </row>
    <row r="297">
      <c r="A297" t="str">
        <v>392</v>
      </c>
      <c r="B297" t="str">
        <v>E12</v>
      </c>
      <c r="C297" t="str">
        <v>Backend Platform (Firebase)</v>
      </c>
      <c r="D297" t="str">
        <v>F12.7.T3</v>
      </c>
      <c r="E297" t="str">
        <v>Validation &amp; QA</v>
      </c>
      <c r="F297" t="str">
        <v>MVP-P0</v>
      </c>
      <c r="G297" t="str">
        <v>CONFIRMED</v>
      </c>
      <c r="H297" t="str">
        <v>QA Engineer</v>
      </c>
      <c r="I297" t="str">
        <v>Backend/Cloud</v>
      </c>
      <c r="J297">
        <v>3</v>
      </c>
      <c r="K297">
        <v>18</v>
      </c>
      <c r="L297">
        <v>2.6999999999999997</v>
      </c>
      <c r="M297">
        <v>20.7</v>
      </c>
      <c r="N297" t="str">
        <v>Not Started</v>
      </c>
    </row>
    <row r="298">
      <c r="A298" t="str">
        <v>394</v>
      </c>
      <c r="B298" t="str">
        <v>E12</v>
      </c>
      <c r="C298" t="str">
        <v>Backend Platform (Firebase)</v>
      </c>
      <c r="D298" t="str">
        <v>F12.8.T1</v>
      </c>
      <c r="E298" t="str">
        <v>Analysis &amp; Design</v>
      </c>
      <c r="F298" t="str">
        <v>MVP-P0</v>
      </c>
      <c r="G298" t="str">
        <v>CONFIRMED</v>
      </c>
      <c r="H298" t="str">
        <v>Backend Engineer</v>
      </c>
      <c r="I298" t="str">
        <v>Backend/Cloud</v>
      </c>
      <c r="J298">
        <v>3</v>
      </c>
      <c r="K298">
        <v>18</v>
      </c>
      <c r="L298">
        <v>2.6999999999999997</v>
      </c>
      <c r="M298">
        <v>20.7</v>
      </c>
      <c r="N298" t="str">
        <v>Not Started</v>
      </c>
    </row>
    <row r="299">
      <c r="A299" t="str">
        <v>395</v>
      </c>
      <c r="B299" t="str">
        <v>E12</v>
      </c>
      <c r="C299" t="str">
        <v>Backend Platform (Firebase)</v>
      </c>
      <c r="D299" t="str">
        <v>F12.8.T2</v>
      </c>
      <c r="E299" t="str">
        <v>Implementation</v>
      </c>
      <c r="F299" t="str">
        <v>MVP-P0</v>
      </c>
      <c r="G299" t="str">
        <v>CONFIRMED</v>
      </c>
      <c r="H299" t="str">
        <v>Backend Engineer</v>
      </c>
      <c r="I299" t="str">
        <v>Backend/Cloud</v>
      </c>
      <c r="J299">
        <v>4</v>
      </c>
      <c r="K299">
        <v>24</v>
      </c>
      <c r="L299">
        <v>3.5999999999999996</v>
      </c>
      <c r="M299">
        <v>27.6</v>
      </c>
      <c r="N299" t="str">
        <v>Not Started</v>
      </c>
    </row>
    <row r="300">
      <c r="A300" t="str">
        <v>396</v>
      </c>
      <c r="B300" t="str">
        <v>E12</v>
      </c>
      <c r="C300" t="str">
        <v>Backend Platform (Firebase)</v>
      </c>
      <c r="D300" t="str">
        <v>F12.8.T3</v>
      </c>
      <c r="E300" t="str">
        <v>Validation &amp; QA</v>
      </c>
      <c r="F300" t="str">
        <v>MVP-P0</v>
      </c>
      <c r="G300" t="str">
        <v>CONFIRMED</v>
      </c>
      <c r="H300" t="str">
        <v>QA Engineer</v>
      </c>
      <c r="I300" t="str">
        <v>Backend/Cloud</v>
      </c>
      <c r="J300">
        <v>3</v>
      </c>
      <c r="K300">
        <v>18</v>
      </c>
      <c r="L300">
        <v>2.6999999999999997</v>
      </c>
      <c r="M300">
        <v>20.7</v>
      </c>
      <c r="N300" t="str">
        <v>Not Started</v>
      </c>
    </row>
    <row r="301">
      <c r="A301" t="str">
        <v>398</v>
      </c>
      <c r="B301" t="str">
        <v>E12</v>
      </c>
      <c r="C301" t="str">
        <v>Backend Platform (Firebase)</v>
      </c>
      <c r="D301" t="str">
        <v>F12.9.T1</v>
      </c>
      <c r="E301" t="str">
        <v>Analysis &amp; Design</v>
      </c>
      <c r="F301" t="str">
        <v>MVP-P0</v>
      </c>
      <c r="G301" t="str">
        <v>CONFIRMED</v>
      </c>
      <c r="H301" t="str">
        <v>Backend Engineer</v>
      </c>
      <c r="I301" t="str">
        <v>Backend/Cloud</v>
      </c>
      <c r="J301">
        <v>2</v>
      </c>
      <c r="K301">
        <v>12</v>
      </c>
      <c r="L301">
        <v>1.7999999999999998</v>
      </c>
      <c r="M301">
        <v>13.8</v>
      </c>
      <c r="N301" t="str">
        <v>Not Started</v>
      </c>
    </row>
    <row r="302">
      <c r="A302" t="str">
        <v>399</v>
      </c>
      <c r="B302" t="str">
        <v>E12</v>
      </c>
      <c r="C302" t="str">
        <v>Backend Platform (Firebase)</v>
      </c>
      <c r="D302" t="str">
        <v>F12.9.T2</v>
      </c>
      <c r="E302" t="str">
        <v>Implementation</v>
      </c>
      <c r="F302" t="str">
        <v>MVP-P0</v>
      </c>
      <c r="G302" t="str">
        <v>CONFIRMED</v>
      </c>
      <c r="H302" t="str">
        <v>Backend Engineer</v>
      </c>
      <c r="I302" t="str">
        <v>Backend/Cloud</v>
      </c>
      <c r="J302">
        <v>3</v>
      </c>
      <c r="K302">
        <v>18</v>
      </c>
      <c r="L302">
        <v>2.6999999999999997</v>
      </c>
      <c r="M302">
        <v>20.7</v>
      </c>
      <c r="N302" t="str">
        <v>Not Started</v>
      </c>
    </row>
    <row r="303">
      <c r="A303" t="str">
        <v>400</v>
      </c>
      <c r="B303" t="str">
        <v>E12</v>
      </c>
      <c r="C303" t="str">
        <v>Backend Platform (Firebase)</v>
      </c>
      <c r="D303" t="str">
        <v>F12.9.T3</v>
      </c>
      <c r="E303" t="str">
        <v>Validation &amp; QA</v>
      </c>
      <c r="F303" t="str">
        <v>MVP-P0</v>
      </c>
      <c r="G303" t="str">
        <v>CONFIRMED</v>
      </c>
      <c r="H303" t="str">
        <v>QA Engineer</v>
      </c>
      <c r="I303" t="str">
        <v>Backend/Cloud</v>
      </c>
      <c r="J303">
        <v>2</v>
      </c>
      <c r="K303">
        <v>12</v>
      </c>
      <c r="L303">
        <v>1.7999999999999998</v>
      </c>
      <c r="M303">
        <v>13.8</v>
      </c>
      <c r="N303" t="str">
        <v>Not Started</v>
      </c>
    </row>
    <row r="304">
      <c r="A304" t="str">
        <v>402</v>
      </c>
      <c r="B304" t="str">
        <v>E13</v>
      </c>
      <c r="C304" t="str">
        <v>Admin / CMS</v>
      </c>
      <c r="D304" t="str">
        <v>F13.1.T1</v>
      </c>
      <c r="E304" t="str">
        <v>Analysis &amp; Design</v>
      </c>
      <c r="F304" t="str">
        <v>MVP-P0</v>
      </c>
      <c r="G304" t="str">
        <v>CONFIRMED</v>
      </c>
      <c r="H304" t="str">
        <v>Backend/Admin Engineer</v>
      </c>
      <c r="I304" t="str">
        <v>Admin/Content</v>
      </c>
      <c r="J304">
        <v>3</v>
      </c>
      <c r="K304">
        <v>18</v>
      </c>
      <c r="L304">
        <v>2.6999999999999997</v>
      </c>
      <c r="M304">
        <v>20.7</v>
      </c>
      <c r="N304" t="str">
        <v>Not Started</v>
      </c>
    </row>
    <row r="305">
      <c r="A305" t="str">
        <v>403</v>
      </c>
      <c r="B305" t="str">
        <v>E13</v>
      </c>
      <c r="C305" t="str">
        <v>Admin / CMS</v>
      </c>
      <c r="D305" t="str">
        <v>F13.1.T2</v>
      </c>
      <c r="E305" t="str">
        <v>Implementation</v>
      </c>
      <c r="F305" t="str">
        <v>MVP-P0</v>
      </c>
      <c r="G305" t="str">
        <v>CONFIRMED</v>
      </c>
      <c r="H305" t="str">
        <v>Backend/Admin Engineer</v>
      </c>
      <c r="I305" t="str">
        <v>Admin/Content</v>
      </c>
      <c r="J305">
        <v>4</v>
      </c>
      <c r="K305">
        <v>24</v>
      </c>
      <c r="L305">
        <v>3.5999999999999996</v>
      </c>
      <c r="M305">
        <v>27.6</v>
      </c>
      <c r="N305" t="str">
        <v>Not Started</v>
      </c>
    </row>
    <row r="306">
      <c r="A306" t="str">
        <v>404</v>
      </c>
      <c r="B306" t="str">
        <v>E13</v>
      </c>
      <c r="C306" t="str">
        <v>Admin / CMS</v>
      </c>
      <c r="D306" t="str">
        <v>F13.1.T3</v>
      </c>
      <c r="E306" t="str">
        <v>Validation &amp; QA</v>
      </c>
      <c r="F306" t="str">
        <v>MVP-P0</v>
      </c>
      <c r="G306" t="str">
        <v>CONFIRMED</v>
      </c>
      <c r="H306" t="str">
        <v>QA Engineer</v>
      </c>
      <c r="I306" t="str">
        <v>Admin/Content</v>
      </c>
      <c r="J306">
        <v>3</v>
      </c>
      <c r="K306">
        <v>18</v>
      </c>
      <c r="L306">
        <v>2.6999999999999997</v>
      </c>
      <c r="M306">
        <v>20.7</v>
      </c>
      <c r="N306" t="str">
        <v>Not Started</v>
      </c>
    </row>
    <row r="307">
      <c r="A307" t="str">
        <v>406</v>
      </c>
      <c r="B307" t="str">
        <v>E13</v>
      </c>
      <c r="C307" t="str">
        <v>Admin / CMS</v>
      </c>
      <c r="D307" t="str">
        <v>F13.2.T1</v>
      </c>
      <c r="E307" t="str">
        <v>Analysis &amp; Design</v>
      </c>
      <c r="F307" t="str">
        <v>MVP-P0</v>
      </c>
      <c r="G307" t="str">
        <v>CONFIRMED</v>
      </c>
      <c r="H307" t="str">
        <v>Admin Engineer</v>
      </c>
      <c r="I307" t="str">
        <v>Admin/Content</v>
      </c>
      <c r="J307">
        <v>5</v>
      </c>
      <c r="K307">
        <v>30</v>
      </c>
      <c r="L307">
        <v>4.5</v>
      </c>
      <c r="M307">
        <v>34.5</v>
      </c>
      <c r="N307" t="str">
        <v>Not Started</v>
      </c>
    </row>
    <row r="308">
      <c r="A308" t="str">
        <v>407</v>
      </c>
      <c r="B308" t="str">
        <v>E13</v>
      </c>
      <c r="C308" t="str">
        <v>Admin / CMS</v>
      </c>
      <c r="D308" t="str">
        <v>F13.2.T2</v>
      </c>
      <c r="E308" t="str">
        <v>Implementation</v>
      </c>
      <c r="F308" t="str">
        <v>MVP-P0</v>
      </c>
      <c r="G308" t="str">
        <v>CONFIRMED</v>
      </c>
      <c r="H308" t="str">
        <v>Admin Engineer</v>
      </c>
      <c r="I308" t="str">
        <v>Admin/Content</v>
      </c>
      <c r="J308">
        <v>7</v>
      </c>
      <c r="K308">
        <v>42</v>
      </c>
      <c r="L308">
        <v>6.3</v>
      </c>
      <c r="M308">
        <v>48.3</v>
      </c>
      <c r="N308" t="str">
        <v>Not Started</v>
      </c>
    </row>
    <row r="309">
      <c r="A309" t="str">
        <v>408</v>
      </c>
      <c r="B309" t="str">
        <v>E13</v>
      </c>
      <c r="C309" t="str">
        <v>Admin / CMS</v>
      </c>
      <c r="D309" t="str">
        <v>F13.2.T3</v>
      </c>
      <c r="E309" t="str">
        <v>Validation &amp; QA</v>
      </c>
      <c r="F309" t="str">
        <v>MVP-P0</v>
      </c>
      <c r="G309" t="str">
        <v>CONFIRMED</v>
      </c>
      <c r="H309" t="str">
        <v>QA Engineer</v>
      </c>
      <c r="I309" t="str">
        <v>Admin/Content</v>
      </c>
      <c r="J309">
        <v>5</v>
      </c>
      <c r="K309">
        <v>30</v>
      </c>
      <c r="L309">
        <v>4.5</v>
      </c>
      <c r="M309">
        <v>34.5</v>
      </c>
      <c r="N309" t="str">
        <v>Not Started</v>
      </c>
    </row>
    <row r="310">
      <c r="A310" t="str">
        <v>410</v>
      </c>
      <c r="B310" t="str">
        <v>E13</v>
      </c>
      <c r="C310" t="str">
        <v>Admin / CMS</v>
      </c>
      <c r="D310" t="str">
        <v>F13.3.T1</v>
      </c>
      <c r="E310" t="str">
        <v>Analysis &amp; Design</v>
      </c>
      <c r="F310" t="str">
        <v>MVP-P0</v>
      </c>
      <c r="G310" t="str">
        <v>PROPOSED</v>
      </c>
      <c r="H310" t="str">
        <v>Admin Engineer</v>
      </c>
      <c r="I310" t="str">
        <v>Admin/Content</v>
      </c>
      <c r="J310">
        <v>3</v>
      </c>
      <c r="K310">
        <v>18</v>
      </c>
      <c r="L310">
        <v>2.6999999999999997</v>
      </c>
      <c r="M310">
        <v>20.7</v>
      </c>
      <c r="N310" t="str">
        <v>Not Started</v>
      </c>
    </row>
    <row r="311">
      <c r="A311" t="str">
        <v>411</v>
      </c>
      <c r="B311" t="str">
        <v>E13</v>
      </c>
      <c r="C311" t="str">
        <v>Admin / CMS</v>
      </c>
      <c r="D311" t="str">
        <v>F13.3.T2</v>
      </c>
      <c r="E311" t="str">
        <v>Implementation</v>
      </c>
      <c r="F311" t="str">
        <v>MVP-P0</v>
      </c>
      <c r="G311" t="str">
        <v>PROPOSED</v>
      </c>
      <c r="H311" t="str">
        <v>Admin Engineer</v>
      </c>
      <c r="I311" t="str">
        <v>Admin/Content</v>
      </c>
      <c r="J311">
        <v>4</v>
      </c>
      <c r="K311">
        <v>24</v>
      </c>
      <c r="L311">
        <v>3.5999999999999996</v>
      </c>
      <c r="M311">
        <v>27.6</v>
      </c>
      <c r="N311" t="str">
        <v>Not Started</v>
      </c>
    </row>
    <row r="312">
      <c r="A312" t="str">
        <v>412</v>
      </c>
      <c r="B312" t="str">
        <v>E13</v>
      </c>
      <c r="C312" t="str">
        <v>Admin / CMS</v>
      </c>
      <c r="D312" t="str">
        <v>F13.3.T3</v>
      </c>
      <c r="E312" t="str">
        <v>Validation &amp; QA</v>
      </c>
      <c r="F312" t="str">
        <v>MVP-P0</v>
      </c>
      <c r="G312" t="str">
        <v>PROPOSED</v>
      </c>
      <c r="H312" t="str">
        <v>QA Engineer</v>
      </c>
      <c r="I312" t="str">
        <v>Admin/Content</v>
      </c>
      <c r="J312">
        <v>3</v>
      </c>
      <c r="K312">
        <v>18</v>
      </c>
      <c r="L312">
        <v>2.6999999999999997</v>
      </c>
      <c r="M312">
        <v>20.7</v>
      </c>
      <c r="N312" t="str">
        <v>Not Started</v>
      </c>
    </row>
    <row r="313">
      <c r="A313" t="str">
        <v>414</v>
      </c>
      <c r="B313" t="str">
        <v>E13</v>
      </c>
      <c r="C313" t="str">
        <v>Admin / CMS</v>
      </c>
      <c r="D313" t="str">
        <v>F13.4.T1</v>
      </c>
      <c r="E313" t="str">
        <v>Analysis &amp; Design</v>
      </c>
      <c r="F313" t="str">
        <v>MVP-P0</v>
      </c>
      <c r="G313" t="str">
        <v>CONFIRMED</v>
      </c>
      <c r="H313" t="str">
        <v>Admin Engineer</v>
      </c>
      <c r="I313" t="str">
        <v>Admin/Content</v>
      </c>
      <c r="J313">
        <v>5</v>
      </c>
      <c r="K313">
        <v>30</v>
      </c>
      <c r="L313">
        <v>4.5</v>
      </c>
      <c r="M313">
        <v>34.5</v>
      </c>
      <c r="N313" t="str">
        <v>Not Started</v>
      </c>
    </row>
    <row r="314">
      <c r="A314" t="str">
        <v>415</v>
      </c>
      <c r="B314" t="str">
        <v>E13</v>
      </c>
      <c r="C314" t="str">
        <v>Admin / CMS</v>
      </c>
      <c r="D314" t="str">
        <v>F13.4.T2</v>
      </c>
      <c r="E314" t="str">
        <v>Implementation</v>
      </c>
      <c r="F314" t="str">
        <v>MVP-P0</v>
      </c>
      <c r="G314" t="str">
        <v>CONFIRMED</v>
      </c>
      <c r="H314" t="str">
        <v>Admin Engineer</v>
      </c>
      <c r="I314" t="str">
        <v>Admin/Content</v>
      </c>
      <c r="J314">
        <v>7</v>
      </c>
      <c r="K314">
        <v>42</v>
      </c>
      <c r="L314">
        <v>6.3</v>
      </c>
      <c r="M314">
        <v>48.3</v>
      </c>
      <c r="N314" t="str">
        <v>Not Started</v>
      </c>
    </row>
    <row r="315">
      <c r="A315" t="str">
        <v>416</v>
      </c>
      <c r="B315" t="str">
        <v>E13</v>
      </c>
      <c r="C315" t="str">
        <v>Admin / CMS</v>
      </c>
      <c r="D315" t="str">
        <v>F13.4.T3</v>
      </c>
      <c r="E315" t="str">
        <v>Validation &amp; QA</v>
      </c>
      <c r="F315" t="str">
        <v>MVP-P0</v>
      </c>
      <c r="G315" t="str">
        <v>CONFIRMED</v>
      </c>
      <c r="H315" t="str">
        <v>QA Engineer</v>
      </c>
      <c r="I315" t="str">
        <v>Admin/Content</v>
      </c>
      <c r="J315">
        <v>5</v>
      </c>
      <c r="K315">
        <v>30</v>
      </c>
      <c r="L315">
        <v>4.5</v>
      </c>
      <c r="M315">
        <v>34.5</v>
      </c>
      <c r="N315" t="str">
        <v>Not Started</v>
      </c>
    </row>
    <row r="316">
      <c r="A316" t="str">
        <v>418</v>
      </c>
      <c r="B316" t="str">
        <v>E13</v>
      </c>
      <c r="C316" t="str">
        <v>Admin / CMS</v>
      </c>
      <c r="D316" t="str">
        <v>F13.5.T1</v>
      </c>
      <c r="E316" t="str">
        <v>Analysis &amp; Design</v>
      </c>
      <c r="F316" t="str">
        <v>MVP-P0</v>
      </c>
      <c r="G316" t="str">
        <v>CONFIRMED</v>
      </c>
      <c r="H316" t="str">
        <v>Admin Engineer</v>
      </c>
      <c r="I316" t="str">
        <v>Admin/Content</v>
      </c>
      <c r="J316">
        <v>5</v>
      </c>
      <c r="K316">
        <v>30</v>
      </c>
      <c r="L316">
        <v>4.5</v>
      </c>
      <c r="M316">
        <v>34.5</v>
      </c>
      <c r="N316" t="str">
        <v>Not Started</v>
      </c>
    </row>
    <row r="317">
      <c r="A317" t="str">
        <v>419</v>
      </c>
      <c r="B317" t="str">
        <v>E13</v>
      </c>
      <c r="C317" t="str">
        <v>Admin / CMS</v>
      </c>
      <c r="D317" t="str">
        <v>F13.5.T2</v>
      </c>
      <c r="E317" t="str">
        <v>Implementation</v>
      </c>
      <c r="F317" t="str">
        <v>MVP-P0</v>
      </c>
      <c r="G317" t="str">
        <v>CONFIRMED</v>
      </c>
      <c r="H317" t="str">
        <v>Admin Engineer</v>
      </c>
      <c r="I317" t="str">
        <v>Admin/Content</v>
      </c>
      <c r="J317">
        <v>7</v>
      </c>
      <c r="K317">
        <v>42</v>
      </c>
      <c r="L317">
        <v>6.3</v>
      </c>
      <c r="M317">
        <v>48.3</v>
      </c>
      <c r="N317" t="str">
        <v>Not Started</v>
      </c>
    </row>
    <row r="318">
      <c r="A318" t="str">
        <v>420</v>
      </c>
      <c r="B318" t="str">
        <v>E13</v>
      </c>
      <c r="C318" t="str">
        <v>Admin / CMS</v>
      </c>
      <c r="D318" t="str">
        <v>F13.5.T3</v>
      </c>
      <c r="E318" t="str">
        <v>Validation &amp; QA</v>
      </c>
      <c r="F318" t="str">
        <v>MVP-P0</v>
      </c>
      <c r="G318" t="str">
        <v>CONFIRMED</v>
      </c>
      <c r="H318" t="str">
        <v>QA Engineer</v>
      </c>
      <c r="I318" t="str">
        <v>Admin/Content</v>
      </c>
      <c r="J318">
        <v>5</v>
      </c>
      <c r="K318">
        <v>30</v>
      </c>
      <c r="L318">
        <v>4.5</v>
      </c>
      <c r="M318">
        <v>34.5</v>
      </c>
      <c r="N318" t="str">
        <v>Not Started</v>
      </c>
    </row>
    <row r="319">
      <c r="A319" t="str">
        <v>422</v>
      </c>
      <c r="B319" t="str">
        <v>E13</v>
      </c>
      <c r="C319" t="str">
        <v>Admin / CMS</v>
      </c>
      <c r="D319" t="str">
        <v>F13.6.T1</v>
      </c>
      <c r="E319" t="str">
        <v>Analysis &amp; Design</v>
      </c>
      <c r="F319" t="str">
        <v>MVP-P0</v>
      </c>
      <c r="G319" t="str">
        <v>PROPOSED</v>
      </c>
      <c r="H319" t="str">
        <v>Admin/Game Engineer</v>
      </c>
      <c r="I319" t="str">
        <v>Admin/Content</v>
      </c>
      <c r="J319">
        <v>5</v>
      </c>
      <c r="K319">
        <v>30</v>
      </c>
      <c r="L319">
        <v>4.5</v>
      </c>
      <c r="M319">
        <v>34.5</v>
      </c>
      <c r="N319" t="str">
        <v>Not Started</v>
      </c>
    </row>
    <row r="320">
      <c r="A320" t="str">
        <v>423</v>
      </c>
      <c r="B320" t="str">
        <v>E13</v>
      </c>
      <c r="C320" t="str">
        <v>Admin / CMS</v>
      </c>
      <c r="D320" t="str">
        <v>F13.6.T2</v>
      </c>
      <c r="E320" t="str">
        <v>Implementation</v>
      </c>
      <c r="F320" t="str">
        <v>MVP-P0</v>
      </c>
      <c r="G320" t="str">
        <v>PROPOSED</v>
      </c>
      <c r="H320" t="str">
        <v>Admin/Game Engineer</v>
      </c>
      <c r="I320" t="str">
        <v>Admin/Content</v>
      </c>
      <c r="J320">
        <v>7</v>
      </c>
      <c r="K320">
        <v>42</v>
      </c>
      <c r="L320">
        <v>6.3</v>
      </c>
      <c r="M320">
        <v>48.3</v>
      </c>
      <c r="N320" t="str">
        <v>Not Started</v>
      </c>
    </row>
    <row r="321">
      <c r="A321" t="str">
        <v>424</v>
      </c>
      <c r="B321" t="str">
        <v>E13</v>
      </c>
      <c r="C321" t="str">
        <v>Admin / CMS</v>
      </c>
      <c r="D321" t="str">
        <v>F13.6.T3</v>
      </c>
      <c r="E321" t="str">
        <v>Validation &amp; QA</v>
      </c>
      <c r="F321" t="str">
        <v>MVP-P0</v>
      </c>
      <c r="G321" t="str">
        <v>PROPOSED</v>
      </c>
      <c r="H321" t="str">
        <v>QA Engineer</v>
      </c>
      <c r="I321" t="str">
        <v>Admin/Content</v>
      </c>
      <c r="J321">
        <v>5</v>
      </c>
      <c r="K321">
        <v>30</v>
      </c>
      <c r="L321">
        <v>4.5</v>
      </c>
      <c r="M321">
        <v>34.5</v>
      </c>
      <c r="N321" t="str">
        <v>Not Started</v>
      </c>
    </row>
    <row r="322">
      <c r="A322" t="str">
        <v>426</v>
      </c>
      <c r="B322" t="str">
        <v>E13</v>
      </c>
      <c r="C322" t="str">
        <v>Admin / CMS</v>
      </c>
      <c r="D322" t="str">
        <v>F13.7.T1</v>
      </c>
      <c r="E322" t="str">
        <v>Analysis &amp; Design</v>
      </c>
      <c r="F322" t="str">
        <v>MVP-P0</v>
      </c>
      <c r="G322" t="str">
        <v>PROPOSED</v>
      </c>
      <c r="H322" t="str">
        <v>Backend/Admin Engineer</v>
      </c>
      <c r="I322" t="str">
        <v>Admin/Content</v>
      </c>
      <c r="J322">
        <v>5</v>
      </c>
      <c r="K322">
        <v>30</v>
      </c>
      <c r="L322">
        <v>4.5</v>
      </c>
      <c r="M322">
        <v>34.5</v>
      </c>
      <c r="N322" t="str">
        <v>Not Started</v>
      </c>
    </row>
    <row r="323">
      <c r="A323" t="str">
        <v>427</v>
      </c>
      <c r="B323" t="str">
        <v>E13</v>
      </c>
      <c r="C323" t="str">
        <v>Admin / CMS</v>
      </c>
      <c r="D323" t="str">
        <v>F13.7.T2</v>
      </c>
      <c r="E323" t="str">
        <v>Implementation</v>
      </c>
      <c r="F323" t="str">
        <v>MVP-P0</v>
      </c>
      <c r="G323" t="str">
        <v>PROPOSED</v>
      </c>
      <c r="H323" t="str">
        <v>Backend/Admin Engineer</v>
      </c>
      <c r="I323" t="str">
        <v>Admin/Content</v>
      </c>
      <c r="J323">
        <v>7</v>
      </c>
      <c r="K323">
        <v>42</v>
      </c>
      <c r="L323">
        <v>6.3</v>
      </c>
      <c r="M323">
        <v>48.3</v>
      </c>
      <c r="N323" t="str">
        <v>Not Started</v>
      </c>
    </row>
    <row r="324">
      <c r="A324" t="str">
        <v>428</v>
      </c>
      <c r="B324" t="str">
        <v>E13</v>
      </c>
      <c r="C324" t="str">
        <v>Admin / CMS</v>
      </c>
      <c r="D324" t="str">
        <v>F13.7.T3</v>
      </c>
      <c r="E324" t="str">
        <v>Validation &amp; QA</v>
      </c>
      <c r="F324" t="str">
        <v>MVP-P0</v>
      </c>
      <c r="G324" t="str">
        <v>PROPOSED</v>
      </c>
      <c r="H324" t="str">
        <v>QA Engineer</v>
      </c>
      <c r="I324" t="str">
        <v>Admin/Content</v>
      </c>
      <c r="J324">
        <v>5</v>
      </c>
      <c r="K324">
        <v>30</v>
      </c>
      <c r="L324">
        <v>4.5</v>
      </c>
      <c r="M324">
        <v>34.5</v>
      </c>
      <c r="N324" t="str">
        <v>Not Started</v>
      </c>
    </row>
    <row r="325">
      <c r="A325" t="str">
        <v>430</v>
      </c>
      <c r="B325" t="str">
        <v>E13</v>
      </c>
      <c r="C325" t="str">
        <v>Admin / CMS</v>
      </c>
      <c r="D325" t="str">
        <v>F13.8.T1</v>
      </c>
      <c r="E325" t="str">
        <v>Analysis &amp; Design</v>
      </c>
      <c r="F325" t="str">
        <v>MVP-P0</v>
      </c>
      <c r="G325" t="str">
        <v>PROPOSED</v>
      </c>
      <c r="H325" t="str">
        <v>Admin Engineer</v>
      </c>
      <c r="I325" t="str">
        <v>Admin/Content</v>
      </c>
      <c r="J325">
        <v>3</v>
      </c>
      <c r="K325">
        <v>18</v>
      </c>
      <c r="L325">
        <v>2.6999999999999997</v>
      </c>
      <c r="M325">
        <v>20.7</v>
      </c>
      <c r="N325" t="str">
        <v>Not Started</v>
      </c>
    </row>
    <row r="326">
      <c r="A326" t="str">
        <v>431</v>
      </c>
      <c r="B326" t="str">
        <v>E13</v>
      </c>
      <c r="C326" t="str">
        <v>Admin / CMS</v>
      </c>
      <c r="D326" t="str">
        <v>F13.8.T2</v>
      </c>
      <c r="E326" t="str">
        <v>Implementation</v>
      </c>
      <c r="F326" t="str">
        <v>MVP-P0</v>
      </c>
      <c r="G326" t="str">
        <v>PROPOSED</v>
      </c>
      <c r="H326" t="str">
        <v>Admin Engineer</v>
      </c>
      <c r="I326" t="str">
        <v>Admin/Content</v>
      </c>
      <c r="J326">
        <v>4</v>
      </c>
      <c r="K326">
        <v>24</v>
      </c>
      <c r="L326">
        <v>3.5999999999999996</v>
      </c>
      <c r="M326">
        <v>27.6</v>
      </c>
      <c r="N326" t="str">
        <v>Not Started</v>
      </c>
    </row>
    <row r="327">
      <c r="A327" t="str">
        <v>432</v>
      </c>
      <c r="B327" t="str">
        <v>E13</v>
      </c>
      <c r="C327" t="str">
        <v>Admin / CMS</v>
      </c>
      <c r="D327" t="str">
        <v>F13.8.T3</v>
      </c>
      <c r="E327" t="str">
        <v>Validation &amp; QA</v>
      </c>
      <c r="F327" t="str">
        <v>MVP-P0</v>
      </c>
      <c r="G327" t="str">
        <v>PROPOSED</v>
      </c>
      <c r="H327" t="str">
        <v>QA Engineer</v>
      </c>
      <c r="I327" t="str">
        <v>Admin/Content</v>
      </c>
      <c r="J327">
        <v>3</v>
      </c>
      <c r="K327">
        <v>18</v>
      </c>
      <c r="L327">
        <v>2.6999999999999997</v>
      </c>
      <c r="M327">
        <v>20.7</v>
      </c>
      <c r="N327" t="str">
        <v>Not Started</v>
      </c>
    </row>
    <row r="328">
      <c r="A328" t="str">
        <v>434</v>
      </c>
      <c r="B328" t="str">
        <v>E13</v>
      </c>
      <c r="C328" t="str">
        <v>Admin / CMS</v>
      </c>
      <c r="D328" t="str">
        <v>F13.9.T1</v>
      </c>
      <c r="E328" t="str">
        <v>Analysis &amp; Design</v>
      </c>
      <c r="F328" t="str">
        <v>MVP-P0</v>
      </c>
      <c r="G328" t="str">
        <v>CONFIRMED/REQUIRED</v>
      </c>
      <c r="H328" t="str">
        <v>Backend Engineer</v>
      </c>
      <c r="I328" t="str">
        <v>Admin/Content</v>
      </c>
      <c r="J328">
        <v>3</v>
      </c>
      <c r="K328">
        <v>18</v>
      </c>
      <c r="L328">
        <v>2.6999999999999997</v>
      </c>
      <c r="M328">
        <v>20.7</v>
      </c>
      <c r="N328" t="str">
        <v>Not Started</v>
      </c>
    </row>
    <row r="329">
      <c r="A329" t="str">
        <v>435</v>
      </c>
      <c r="B329" t="str">
        <v>E13</v>
      </c>
      <c r="C329" t="str">
        <v>Admin / CMS</v>
      </c>
      <c r="D329" t="str">
        <v>F13.9.T2</v>
      </c>
      <c r="E329" t="str">
        <v>Implementation</v>
      </c>
      <c r="F329" t="str">
        <v>MVP-P0</v>
      </c>
      <c r="G329" t="str">
        <v>CONFIRMED/REQUIRED</v>
      </c>
      <c r="H329" t="str">
        <v>Backend Engineer</v>
      </c>
      <c r="I329" t="str">
        <v>Admin/Content</v>
      </c>
      <c r="J329">
        <v>4</v>
      </c>
      <c r="K329">
        <v>24</v>
      </c>
      <c r="L329">
        <v>3.5999999999999996</v>
      </c>
      <c r="M329">
        <v>27.6</v>
      </c>
      <c r="N329" t="str">
        <v>Not Started</v>
      </c>
    </row>
    <row r="330">
      <c r="A330" t="str">
        <v>436</v>
      </c>
      <c r="B330" t="str">
        <v>E13</v>
      </c>
      <c r="C330" t="str">
        <v>Admin / CMS</v>
      </c>
      <c r="D330" t="str">
        <v>F13.9.T3</v>
      </c>
      <c r="E330" t="str">
        <v>Validation &amp; QA</v>
      </c>
      <c r="F330" t="str">
        <v>MVP-P0</v>
      </c>
      <c r="G330" t="str">
        <v>CONFIRMED/REQUIRED</v>
      </c>
      <c r="H330" t="str">
        <v>QA Engineer</v>
      </c>
      <c r="I330" t="str">
        <v>Admin/Content</v>
      </c>
      <c r="J330">
        <v>3</v>
      </c>
      <c r="K330">
        <v>18</v>
      </c>
      <c r="L330">
        <v>2.6999999999999997</v>
      </c>
      <c r="M330">
        <v>20.7</v>
      </c>
      <c r="N330" t="str">
        <v>Not Started</v>
      </c>
    </row>
    <row r="331">
      <c r="A331" t="str">
        <v>438</v>
      </c>
      <c r="B331" t="str">
        <v>E13</v>
      </c>
      <c r="C331" t="str">
        <v>Admin / CMS</v>
      </c>
      <c r="D331" t="str">
        <v>F13.10.T1</v>
      </c>
      <c r="E331" t="str">
        <v>Analysis &amp; Design</v>
      </c>
      <c r="F331" t="str">
        <v>MVP-P0</v>
      </c>
      <c r="G331" t="str">
        <v>PROPOSED MVP</v>
      </c>
      <c r="H331" t="str">
        <v>Admin Engineer</v>
      </c>
      <c r="I331" t="str">
        <v>Admin/Content</v>
      </c>
      <c r="J331">
        <v>3</v>
      </c>
      <c r="K331">
        <v>18</v>
      </c>
      <c r="L331">
        <v>2.6999999999999997</v>
      </c>
      <c r="M331">
        <v>20.7</v>
      </c>
      <c r="N331" t="str">
        <v>Not Started</v>
      </c>
    </row>
    <row r="332">
      <c r="A332" t="str">
        <v>439</v>
      </c>
      <c r="B332" t="str">
        <v>E13</v>
      </c>
      <c r="C332" t="str">
        <v>Admin / CMS</v>
      </c>
      <c r="D332" t="str">
        <v>F13.10.T2</v>
      </c>
      <c r="E332" t="str">
        <v>Implementation</v>
      </c>
      <c r="F332" t="str">
        <v>MVP-P0</v>
      </c>
      <c r="G332" t="str">
        <v>PROPOSED MVP</v>
      </c>
      <c r="H332" t="str">
        <v>Admin Engineer</v>
      </c>
      <c r="I332" t="str">
        <v>Admin/Content</v>
      </c>
      <c r="J332">
        <v>4</v>
      </c>
      <c r="K332">
        <v>24</v>
      </c>
      <c r="L332">
        <v>3.5999999999999996</v>
      </c>
      <c r="M332">
        <v>27.6</v>
      </c>
      <c r="N332" t="str">
        <v>Not Started</v>
      </c>
    </row>
    <row r="333">
      <c r="A333" t="str">
        <v>440</v>
      </c>
      <c r="B333" t="str">
        <v>E13</v>
      </c>
      <c r="C333" t="str">
        <v>Admin / CMS</v>
      </c>
      <c r="D333" t="str">
        <v>F13.10.T3</v>
      </c>
      <c r="E333" t="str">
        <v>Validation &amp; QA</v>
      </c>
      <c r="F333" t="str">
        <v>MVP-P0</v>
      </c>
      <c r="G333" t="str">
        <v>PROPOSED MVP</v>
      </c>
      <c r="H333" t="str">
        <v>QA Engineer</v>
      </c>
      <c r="I333" t="str">
        <v>Admin/Content</v>
      </c>
      <c r="J333">
        <v>3</v>
      </c>
      <c r="K333">
        <v>18</v>
      </c>
      <c r="L333">
        <v>2.6999999999999997</v>
      </c>
      <c r="M333">
        <v>20.7</v>
      </c>
      <c r="N333" t="str">
        <v>Not Started</v>
      </c>
    </row>
    <row r="334">
      <c r="A334" t="str">
        <v>442</v>
      </c>
      <c r="B334" t="str">
        <v>E14</v>
      </c>
      <c r="C334" t="str">
        <v>Analytics &amp; Observability</v>
      </c>
      <c r="D334" t="str">
        <v>F14.1.T1</v>
      </c>
      <c r="E334" t="str">
        <v>Analysis &amp; Design</v>
      </c>
      <c r="F334" t="str">
        <v>MVP-P0</v>
      </c>
      <c r="G334" t="str">
        <v>CONFIRMED</v>
      </c>
      <c r="H334" t="str">
        <v>Mobile Engineer</v>
      </c>
      <c r="I334" t="str">
        <v>Analytics/Engineering</v>
      </c>
      <c r="J334">
        <v>2</v>
      </c>
      <c r="K334">
        <v>12</v>
      </c>
      <c r="L334">
        <v>1.7999999999999998</v>
      </c>
      <c r="M334">
        <v>13.8</v>
      </c>
      <c r="N334" t="str">
        <v>Not Started</v>
      </c>
    </row>
    <row r="335">
      <c r="A335" t="str">
        <v>443</v>
      </c>
      <c r="B335" t="str">
        <v>E14</v>
      </c>
      <c r="C335" t="str">
        <v>Analytics &amp; Observability</v>
      </c>
      <c r="D335" t="str">
        <v>F14.1.T2</v>
      </c>
      <c r="E335" t="str">
        <v>Implementation</v>
      </c>
      <c r="F335" t="str">
        <v>MVP-P0</v>
      </c>
      <c r="G335" t="str">
        <v>CONFIRMED</v>
      </c>
      <c r="H335" t="str">
        <v>Mobile Engineer</v>
      </c>
      <c r="I335" t="str">
        <v>Analytics/Engineering</v>
      </c>
      <c r="J335">
        <v>3</v>
      </c>
      <c r="K335">
        <v>18</v>
      </c>
      <c r="L335">
        <v>2.6999999999999997</v>
      </c>
      <c r="M335">
        <v>20.7</v>
      </c>
      <c r="N335" t="str">
        <v>Not Started</v>
      </c>
    </row>
    <row r="336">
      <c r="A336" t="str">
        <v>444</v>
      </c>
      <c r="B336" t="str">
        <v>E14</v>
      </c>
      <c r="C336" t="str">
        <v>Analytics &amp; Observability</v>
      </c>
      <c r="D336" t="str">
        <v>F14.1.T3</v>
      </c>
      <c r="E336" t="str">
        <v>Validation &amp; QA</v>
      </c>
      <c r="F336" t="str">
        <v>MVP-P0</v>
      </c>
      <c r="G336" t="str">
        <v>CONFIRMED</v>
      </c>
      <c r="H336" t="str">
        <v>QA Engineer</v>
      </c>
      <c r="I336" t="str">
        <v>Analytics/Engineering</v>
      </c>
      <c r="J336">
        <v>2</v>
      </c>
      <c r="K336">
        <v>12</v>
      </c>
      <c r="L336">
        <v>1.7999999999999998</v>
      </c>
      <c r="M336">
        <v>13.8</v>
      </c>
      <c r="N336" t="str">
        <v>Not Started</v>
      </c>
    </row>
    <row r="337">
      <c r="A337" t="str">
        <v>446</v>
      </c>
      <c r="B337" t="str">
        <v>E14</v>
      </c>
      <c r="C337" t="str">
        <v>Analytics &amp; Observability</v>
      </c>
      <c r="D337" t="str">
        <v>F14.2.T1</v>
      </c>
      <c r="E337" t="str">
        <v>Analysis &amp; Design</v>
      </c>
      <c r="F337" t="str">
        <v>MVP-P0</v>
      </c>
      <c r="G337" t="str">
        <v>CONFIRMED</v>
      </c>
      <c r="H337" t="str">
        <v>Analytics Engineer</v>
      </c>
      <c r="I337" t="str">
        <v>Analytics/Engineering</v>
      </c>
      <c r="J337">
        <v>3</v>
      </c>
      <c r="K337">
        <v>18</v>
      </c>
      <c r="L337">
        <v>2.6999999999999997</v>
      </c>
      <c r="M337">
        <v>20.7</v>
      </c>
      <c r="N337" t="str">
        <v>Not Started</v>
      </c>
    </row>
    <row r="338">
      <c r="A338" t="str">
        <v>447</v>
      </c>
      <c r="B338" t="str">
        <v>E14</v>
      </c>
      <c r="C338" t="str">
        <v>Analytics &amp; Observability</v>
      </c>
      <c r="D338" t="str">
        <v>F14.2.T2</v>
      </c>
      <c r="E338" t="str">
        <v>Implementation</v>
      </c>
      <c r="F338" t="str">
        <v>MVP-P0</v>
      </c>
      <c r="G338" t="str">
        <v>CONFIRMED</v>
      </c>
      <c r="H338" t="str">
        <v>Analytics Engineer</v>
      </c>
      <c r="I338" t="str">
        <v>Analytics/Engineering</v>
      </c>
      <c r="J338">
        <v>4</v>
      </c>
      <c r="K338">
        <v>24</v>
      </c>
      <c r="L338">
        <v>3.5999999999999996</v>
      </c>
      <c r="M338">
        <v>27.6</v>
      </c>
      <c r="N338" t="str">
        <v>Not Started</v>
      </c>
    </row>
    <row r="339">
      <c r="A339" t="str">
        <v>448</v>
      </c>
      <c r="B339" t="str">
        <v>E14</v>
      </c>
      <c r="C339" t="str">
        <v>Analytics &amp; Observability</v>
      </c>
      <c r="D339" t="str">
        <v>F14.2.T3</v>
      </c>
      <c r="E339" t="str">
        <v>Validation &amp; QA</v>
      </c>
      <c r="F339" t="str">
        <v>MVP-P0</v>
      </c>
      <c r="G339" t="str">
        <v>CONFIRMED</v>
      </c>
      <c r="H339" t="str">
        <v>QA Engineer</v>
      </c>
      <c r="I339" t="str">
        <v>Analytics/Engineering</v>
      </c>
      <c r="J339">
        <v>3</v>
      </c>
      <c r="K339">
        <v>18</v>
      </c>
      <c r="L339">
        <v>2.6999999999999997</v>
      </c>
      <c r="M339">
        <v>20.7</v>
      </c>
      <c r="N339" t="str">
        <v>Not Started</v>
      </c>
    </row>
    <row r="340">
      <c r="A340" t="str">
        <v>450</v>
      </c>
      <c r="B340" t="str">
        <v>E14</v>
      </c>
      <c r="C340" t="str">
        <v>Analytics &amp; Observability</v>
      </c>
      <c r="D340" t="str">
        <v>F14.3.T1</v>
      </c>
      <c r="E340" t="str">
        <v>Analysis &amp; Design</v>
      </c>
      <c r="F340" t="str">
        <v>MVP-P0</v>
      </c>
      <c r="G340" t="str">
        <v>CONFIRMED</v>
      </c>
      <c r="H340" t="str">
        <v>Analytics Engineer</v>
      </c>
      <c r="I340" t="str">
        <v>Analytics/Engineering</v>
      </c>
      <c r="J340">
        <v>3</v>
      </c>
      <c r="K340">
        <v>18</v>
      </c>
      <c r="L340">
        <v>2.6999999999999997</v>
      </c>
      <c r="M340">
        <v>20.7</v>
      </c>
      <c r="N340" t="str">
        <v>Not Started</v>
      </c>
    </row>
    <row r="341">
      <c r="A341" t="str">
        <v>451</v>
      </c>
      <c r="B341" t="str">
        <v>E14</v>
      </c>
      <c r="C341" t="str">
        <v>Analytics &amp; Observability</v>
      </c>
      <c r="D341" t="str">
        <v>F14.3.T2</v>
      </c>
      <c r="E341" t="str">
        <v>Implementation</v>
      </c>
      <c r="F341" t="str">
        <v>MVP-P0</v>
      </c>
      <c r="G341" t="str">
        <v>CONFIRMED</v>
      </c>
      <c r="H341" t="str">
        <v>Analytics Engineer</v>
      </c>
      <c r="I341" t="str">
        <v>Analytics/Engineering</v>
      </c>
      <c r="J341">
        <v>4</v>
      </c>
      <c r="K341">
        <v>24</v>
      </c>
      <c r="L341">
        <v>3.5999999999999996</v>
      </c>
      <c r="M341">
        <v>27.6</v>
      </c>
      <c r="N341" t="str">
        <v>Not Started</v>
      </c>
    </row>
    <row r="342">
      <c r="A342" t="str">
        <v>452</v>
      </c>
      <c r="B342" t="str">
        <v>E14</v>
      </c>
      <c r="C342" t="str">
        <v>Analytics &amp; Observability</v>
      </c>
      <c r="D342" t="str">
        <v>F14.3.T3</v>
      </c>
      <c r="E342" t="str">
        <v>Validation &amp; QA</v>
      </c>
      <c r="F342" t="str">
        <v>MVP-P0</v>
      </c>
      <c r="G342" t="str">
        <v>CONFIRMED</v>
      </c>
      <c r="H342" t="str">
        <v>QA Engineer</v>
      </c>
      <c r="I342" t="str">
        <v>Analytics/Engineering</v>
      </c>
      <c r="J342">
        <v>3</v>
      </c>
      <c r="K342">
        <v>18</v>
      </c>
      <c r="L342">
        <v>2.6999999999999997</v>
      </c>
      <c r="M342">
        <v>20.7</v>
      </c>
      <c r="N342" t="str">
        <v>Not Started</v>
      </c>
    </row>
    <row r="343">
      <c r="A343" t="str">
        <v>454</v>
      </c>
      <c r="B343" t="str">
        <v>E14</v>
      </c>
      <c r="C343" t="str">
        <v>Analytics &amp; Observability</v>
      </c>
      <c r="D343" t="str">
        <v>F14.4.T1</v>
      </c>
      <c r="E343" t="str">
        <v>Analysis &amp; Design</v>
      </c>
      <c r="F343" t="str">
        <v>MVP-P0</v>
      </c>
      <c r="G343" t="str">
        <v>CONFIRMED</v>
      </c>
      <c r="H343" t="str">
        <v>Analytics/Solver Engineer</v>
      </c>
      <c r="I343" t="str">
        <v>Analytics/Engineering</v>
      </c>
      <c r="J343">
        <v>2</v>
      </c>
      <c r="K343">
        <v>12</v>
      </c>
      <c r="L343">
        <v>1.7999999999999998</v>
      </c>
      <c r="M343">
        <v>13.8</v>
      </c>
      <c r="N343" t="str">
        <v>Not Started</v>
      </c>
    </row>
    <row r="344">
      <c r="A344" t="str">
        <v>455</v>
      </c>
      <c r="B344" t="str">
        <v>E14</v>
      </c>
      <c r="C344" t="str">
        <v>Analytics &amp; Observability</v>
      </c>
      <c r="D344" t="str">
        <v>F14.4.T2</v>
      </c>
      <c r="E344" t="str">
        <v>Implementation</v>
      </c>
      <c r="F344" t="str">
        <v>MVP-P0</v>
      </c>
      <c r="G344" t="str">
        <v>CONFIRMED</v>
      </c>
      <c r="H344" t="str">
        <v>Analytics/Solver Engineer</v>
      </c>
      <c r="I344" t="str">
        <v>Analytics/Engineering</v>
      </c>
      <c r="J344">
        <v>3</v>
      </c>
      <c r="K344">
        <v>18</v>
      </c>
      <c r="L344">
        <v>2.6999999999999997</v>
      </c>
      <c r="M344">
        <v>20.7</v>
      </c>
      <c r="N344" t="str">
        <v>Not Started</v>
      </c>
    </row>
    <row r="345">
      <c r="A345" t="str">
        <v>456</v>
      </c>
      <c r="B345" t="str">
        <v>E14</v>
      </c>
      <c r="C345" t="str">
        <v>Analytics &amp; Observability</v>
      </c>
      <c r="D345" t="str">
        <v>F14.4.T3</v>
      </c>
      <c r="E345" t="str">
        <v>Validation &amp; QA</v>
      </c>
      <c r="F345" t="str">
        <v>MVP-P0</v>
      </c>
      <c r="G345" t="str">
        <v>CONFIRMED</v>
      </c>
      <c r="H345" t="str">
        <v>QA Engineer</v>
      </c>
      <c r="I345" t="str">
        <v>Analytics/Engineering</v>
      </c>
      <c r="J345">
        <v>2</v>
      </c>
      <c r="K345">
        <v>12</v>
      </c>
      <c r="L345">
        <v>1.7999999999999998</v>
      </c>
      <c r="M345">
        <v>13.8</v>
      </c>
      <c r="N345" t="str">
        <v>Not Started</v>
      </c>
    </row>
    <row r="346">
      <c r="A346" t="str">
        <v>458</v>
      </c>
      <c r="B346" t="str">
        <v>E14</v>
      </c>
      <c r="C346" t="str">
        <v>Analytics &amp; Observability</v>
      </c>
      <c r="D346" t="str">
        <v>F14.5.T1</v>
      </c>
      <c r="E346" t="str">
        <v>Analysis &amp; Design</v>
      </c>
      <c r="F346" t="str">
        <v>MVP-P0</v>
      </c>
      <c r="G346" t="str">
        <v>CONFIRMED</v>
      </c>
      <c r="H346" t="str">
        <v>Analytics Engineer</v>
      </c>
      <c r="I346" t="str">
        <v>Analytics/Engineering</v>
      </c>
      <c r="J346">
        <v>3</v>
      </c>
      <c r="K346">
        <v>18</v>
      </c>
      <c r="L346">
        <v>2.6999999999999997</v>
      </c>
      <c r="M346">
        <v>20.7</v>
      </c>
      <c r="N346" t="str">
        <v>Not Started</v>
      </c>
    </row>
    <row r="347">
      <c r="A347" t="str">
        <v>459</v>
      </c>
      <c r="B347" t="str">
        <v>E14</v>
      </c>
      <c r="C347" t="str">
        <v>Analytics &amp; Observability</v>
      </c>
      <c r="D347" t="str">
        <v>F14.5.T2</v>
      </c>
      <c r="E347" t="str">
        <v>Implementation</v>
      </c>
      <c r="F347" t="str">
        <v>MVP-P0</v>
      </c>
      <c r="G347" t="str">
        <v>CONFIRMED</v>
      </c>
      <c r="H347" t="str">
        <v>Analytics Engineer</v>
      </c>
      <c r="I347" t="str">
        <v>Analytics/Engineering</v>
      </c>
      <c r="J347">
        <v>4</v>
      </c>
      <c r="K347">
        <v>24</v>
      </c>
      <c r="L347">
        <v>3.5999999999999996</v>
      </c>
      <c r="M347">
        <v>27.6</v>
      </c>
      <c r="N347" t="str">
        <v>Not Started</v>
      </c>
    </row>
    <row r="348">
      <c r="A348" t="str">
        <v>460</v>
      </c>
      <c r="B348" t="str">
        <v>E14</v>
      </c>
      <c r="C348" t="str">
        <v>Analytics &amp; Observability</v>
      </c>
      <c r="D348" t="str">
        <v>F14.5.T3</v>
      </c>
      <c r="E348" t="str">
        <v>Validation &amp; QA</v>
      </c>
      <c r="F348" t="str">
        <v>MVP-P0</v>
      </c>
      <c r="G348" t="str">
        <v>CONFIRMED</v>
      </c>
      <c r="H348" t="str">
        <v>QA Engineer</v>
      </c>
      <c r="I348" t="str">
        <v>Analytics/Engineering</v>
      </c>
      <c r="J348">
        <v>3</v>
      </c>
      <c r="K348">
        <v>18</v>
      </c>
      <c r="L348">
        <v>2.6999999999999997</v>
      </c>
      <c r="M348">
        <v>20.7</v>
      </c>
      <c r="N348" t="str">
        <v>Not Started</v>
      </c>
    </row>
    <row r="349">
      <c r="A349" t="str">
        <v>462</v>
      </c>
      <c r="B349" t="str">
        <v>E14</v>
      </c>
      <c r="C349" t="str">
        <v>Analytics &amp; Observability</v>
      </c>
      <c r="D349" t="str">
        <v>F14.6.T1</v>
      </c>
      <c r="E349" t="str">
        <v>Analysis &amp; Design</v>
      </c>
      <c r="F349" t="str">
        <v>MVP-P0</v>
      </c>
      <c r="G349" t="str">
        <v>CONFIRMED</v>
      </c>
      <c r="H349" t="str">
        <v>Analytics Engineer</v>
      </c>
      <c r="I349" t="str">
        <v>Analytics/Engineering</v>
      </c>
      <c r="J349">
        <v>3</v>
      </c>
      <c r="K349">
        <v>18</v>
      </c>
      <c r="L349">
        <v>2.6999999999999997</v>
      </c>
      <c r="M349">
        <v>20.7</v>
      </c>
      <c r="N349" t="str">
        <v>Not Started</v>
      </c>
    </row>
    <row r="350">
      <c r="A350" t="str">
        <v>463</v>
      </c>
      <c r="B350" t="str">
        <v>E14</v>
      </c>
      <c r="C350" t="str">
        <v>Analytics &amp; Observability</v>
      </c>
      <c r="D350" t="str">
        <v>F14.6.T2</v>
      </c>
      <c r="E350" t="str">
        <v>Implementation</v>
      </c>
      <c r="F350" t="str">
        <v>MVP-P0</v>
      </c>
      <c r="G350" t="str">
        <v>CONFIRMED</v>
      </c>
      <c r="H350" t="str">
        <v>Analytics Engineer</v>
      </c>
      <c r="I350" t="str">
        <v>Analytics/Engineering</v>
      </c>
      <c r="J350">
        <v>4</v>
      </c>
      <c r="K350">
        <v>24</v>
      </c>
      <c r="L350">
        <v>3.5999999999999996</v>
      </c>
      <c r="M350">
        <v>27.6</v>
      </c>
      <c r="N350" t="str">
        <v>Not Started</v>
      </c>
    </row>
    <row r="351">
      <c r="A351" t="str">
        <v>464</v>
      </c>
      <c r="B351" t="str">
        <v>E14</v>
      </c>
      <c r="C351" t="str">
        <v>Analytics &amp; Observability</v>
      </c>
      <c r="D351" t="str">
        <v>F14.6.T3</v>
      </c>
      <c r="E351" t="str">
        <v>Validation &amp; QA</v>
      </c>
      <c r="F351" t="str">
        <v>MVP-P0</v>
      </c>
      <c r="G351" t="str">
        <v>CONFIRMED</v>
      </c>
      <c r="H351" t="str">
        <v>QA Engineer</v>
      </c>
      <c r="I351" t="str">
        <v>Analytics/Engineering</v>
      </c>
      <c r="J351">
        <v>3</v>
      </c>
      <c r="K351">
        <v>18</v>
      </c>
      <c r="L351">
        <v>2.6999999999999997</v>
      </c>
      <c r="M351">
        <v>20.7</v>
      </c>
      <c r="N351" t="str">
        <v>Not Started</v>
      </c>
    </row>
    <row r="352">
      <c r="A352" t="str">
        <v>466</v>
      </c>
      <c r="B352" t="str">
        <v>E14</v>
      </c>
      <c r="C352" t="str">
        <v>Analytics &amp; Observability</v>
      </c>
      <c r="D352" t="str">
        <v>F14.7.T1</v>
      </c>
      <c r="E352" t="str">
        <v>Analysis &amp; Design</v>
      </c>
      <c r="F352" t="str">
        <v>MVP-P0</v>
      </c>
      <c r="G352" t="str">
        <v>CONFIRMED</v>
      </c>
      <c r="H352" t="str">
        <v>Mobile Engineer</v>
      </c>
      <c r="I352" t="str">
        <v>Analytics/Engineering</v>
      </c>
      <c r="J352">
        <v>2</v>
      </c>
      <c r="K352">
        <v>12</v>
      </c>
      <c r="L352">
        <v>1.7999999999999998</v>
      </c>
      <c r="M352">
        <v>13.8</v>
      </c>
      <c r="N352" t="str">
        <v>Not Started</v>
      </c>
    </row>
    <row r="353">
      <c r="A353" t="str">
        <v>467</v>
      </c>
      <c r="B353" t="str">
        <v>E14</v>
      </c>
      <c r="C353" t="str">
        <v>Analytics &amp; Observability</v>
      </c>
      <c r="D353" t="str">
        <v>F14.7.T2</v>
      </c>
      <c r="E353" t="str">
        <v>Implementation</v>
      </c>
      <c r="F353" t="str">
        <v>MVP-P0</v>
      </c>
      <c r="G353" t="str">
        <v>CONFIRMED</v>
      </c>
      <c r="H353" t="str">
        <v>Mobile Engineer</v>
      </c>
      <c r="I353" t="str">
        <v>Analytics/Engineering</v>
      </c>
      <c r="J353">
        <v>3</v>
      </c>
      <c r="K353">
        <v>18</v>
      </c>
      <c r="L353">
        <v>2.6999999999999997</v>
      </c>
      <c r="M353">
        <v>20.7</v>
      </c>
      <c r="N353" t="str">
        <v>Not Started</v>
      </c>
    </row>
    <row r="354">
      <c r="A354" t="str">
        <v>468</v>
      </c>
      <c r="B354" t="str">
        <v>E14</v>
      </c>
      <c r="C354" t="str">
        <v>Analytics &amp; Observability</v>
      </c>
      <c r="D354" t="str">
        <v>F14.7.T3</v>
      </c>
      <c r="E354" t="str">
        <v>Validation &amp; QA</v>
      </c>
      <c r="F354" t="str">
        <v>MVP-P0</v>
      </c>
      <c r="G354" t="str">
        <v>CONFIRMED</v>
      </c>
      <c r="H354" t="str">
        <v>QA Engineer</v>
      </c>
      <c r="I354" t="str">
        <v>Analytics/Engineering</v>
      </c>
      <c r="J354">
        <v>2</v>
      </c>
      <c r="K354">
        <v>12</v>
      </c>
      <c r="L354">
        <v>1.7999999999999998</v>
      </c>
      <c r="M354">
        <v>13.8</v>
      </c>
      <c r="N354" t="str">
        <v>Not Started</v>
      </c>
    </row>
    <row r="355">
      <c r="A355" t="str">
        <v>470</v>
      </c>
      <c r="B355" t="str">
        <v>E14</v>
      </c>
      <c r="C355" t="str">
        <v>Analytics &amp; Observability</v>
      </c>
      <c r="D355" t="str">
        <v>F14.8.T1</v>
      </c>
      <c r="E355" t="str">
        <v>Analysis &amp; Design</v>
      </c>
      <c r="F355" t="str">
        <v>MVP-P0</v>
      </c>
      <c r="G355" t="str">
        <v>CONFIRMED</v>
      </c>
      <c r="H355" t="str">
        <v>Analyst</v>
      </c>
      <c r="I355" t="str">
        <v>Analytics/Engineering</v>
      </c>
      <c r="J355">
        <v>3</v>
      </c>
      <c r="K355">
        <v>18</v>
      </c>
      <c r="L355">
        <v>2.6999999999999997</v>
      </c>
      <c r="M355">
        <v>20.7</v>
      </c>
      <c r="N355" t="str">
        <v>Not Started</v>
      </c>
    </row>
    <row r="356">
      <c r="A356" t="str">
        <v>471</v>
      </c>
      <c r="B356" t="str">
        <v>E14</v>
      </c>
      <c r="C356" t="str">
        <v>Analytics &amp; Observability</v>
      </c>
      <c r="D356" t="str">
        <v>F14.8.T2</v>
      </c>
      <c r="E356" t="str">
        <v>Implementation</v>
      </c>
      <c r="F356" t="str">
        <v>MVP-P0</v>
      </c>
      <c r="G356" t="str">
        <v>CONFIRMED</v>
      </c>
      <c r="H356" t="str">
        <v>Analyst</v>
      </c>
      <c r="I356" t="str">
        <v>Analytics/Engineering</v>
      </c>
      <c r="J356">
        <v>4</v>
      </c>
      <c r="K356">
        <v>24</v>
      </c>
      <c r="L356">
        <v>3.5999999999999996</v>
      </c>
      <c r="M356">
        <v>27.6</v>
      </c>
      <c r="N356" t="str">
        <v>Not Started</v>
      </c>
    </row>
    <row r="357">
      <c r="A357" t="str">
        <v>472</v>
      </c>
      <c r="B357" t="str">
        <v>E14</v>
      </c>
      <c r="C357" t="str">
        <v>Analytics &amp; Observability</v>
      </c>
      <c r="D357" t="str">
        <v>F14.8.T3</v>
      </c>
      <c r="E357" t="str">
        <v>Validation &amp; QA</v>
      </c>
      <c r="F357" t="str">
        <v>MVP-P0</v>
      </c>
      <c r="G357" t="str">
        <v>CONFIRMED</v>
      </c>
      <c r="H357" t="str">
        <v>QA Engineer</v>
      </c>
      <c r="I357" t="str">
        <v>Analytics/Engineering</v>
      </c>
      <c r="J357">
        <v>3</v>
      </c>
      <c r="K357">
        <v>18</v>
      </c>
      <c r="L357">
        <v>2.6999999999999997</v>
      </c>
      <c r="M357">
        <v>20.7</v>
      </c>
      <c r="N357" t="str">
        <v>Not Started</v>
      </c>
    </row>
    <row r="358">
      <c r="A358" t="str">
        <v>474</v>
      </c>
      <c r="B358" t="str">
        <v>E15</v>
      </c>
      <c r="C358" t="str">
        <v>Daily Reward</v>
      </c>
      <c r="D358" t="str">
        <v>F15.1.T1</v>
      </c>
      <c r="E358" t="str">
        <v>Analysis &amp; Design</v>
      </c>
      <c r="F358" t="str">
        <v>MVP-P0</v>
      </c>
      <c r="G358" t="str">
        <v>CONFIRMED</v>
      </c>
      <c r="H358" t="str">
        <v>Backend Engineer</v>
      </c>
      <c r="I358" t="str">
        <v>Product/Backend</v>
      </c>
      <c r="J358">
        <v>2</v>
      </c>
      <c r="K358">
        <v>12</v>
      </c>
      <c r="L358">
        <v>1.7999999999999998</v>
      </c>
      <c r="M358">
        <v>13.8</v>
      </c>
      <c r="N358" t="str">
        <v>Not Started</v>
      </c>
    </row>
    <row r="359">
      <c r="A359" t="str">
        <v>475</v>
      </c>
      <c r="B359" t="str">
        <v>E15</v>
      </c>
      <c r="C359" t="str">
        <v>Daily Reward</v>
      </c>
      <c r="D359" t="str">
        <v>F15.1.T2</v>
      </c>
      <c r="E359" t="str">
        <v>Implementation</v>
      </c>
      <c r="F359" t="str">
        <v>MVP-P0</v>
      </c>
      <c r="G359" t="str">
        <v>CONFIRMED</v>
      </c>
      <c r="H359" t="str">
        <v>Backend Engineer</v>
      </c>
      <c r="I359" t="str">
        <v>Product/Backend</v>
      </c>
      <c r="J359">
        <v>3</v>
      </c>
      <c r="K359">
        <v>18</v>
      </c>
      <c r="L359">
        <v>2.6999999999999997</v>
      </c>
      <c r="M359">
        <v>20.7</v>
      </c>
      <c r="N359" t="str">
        <v>Not Started</v>
      </c>
    </row>
    <row r="360">
      <c r="A360" t="str">
        <v>476</v>
      </c>
      <c r="B360" t="str">
        <v>E15</v>
      </c>
      <c r="C360" t="str">
        <v>Daily Reward</v>
      </c>
      <c r="D360" t="str">
        <v>F15.1.T3</v>
      </c>
      <c r="E360" t="str">
        <v>Validation &amp; QA</v>
      </c>
      <c r="F360" t="str">
        <v>MVP-P0</v>
      </c>
      <c r="G360" t="str">
        <v>CONFIRMED</v>
      </c>
      <c r="H360" t="str">
        <v>QA Engineer</v>
      </c>
      <c r="I360" t="str">
        <v>Product/Backend</v>
      </c>
      <c r="J360">
        <v>2</v>
      </c>
      <c r="K360">
        <v>12</v>
      </c>
      <c r="L360">
        <v>1.7999999999999998</v>
      </c>
      <c r="M360">
        <v>13.8</v>
      </c>
      <c r="N360" t="str">
        <v>Not Started</v>
      </c>
    </row>
    <row r="361">
      <c r="A361" t="str">
        <v>478</v>
      </c>
      <c r="B361" t="str">
        <v>E15</v>
      </c>
      <c r="C361" t="str">
        <v>Daily Reward</v>
      </c>
      <c r="D361" t="str">
        <v>F15.2.T1</v>
      </c>
      <c r="E361" t="str">
        <v>Analysis &amp; Design</v>
      </c>
      <c r="F361" t="str">
        <v>MVP-P0</v>
      </c>
      <c r="G361" t="str">
        <v>CONFIRMED</v>
      </c>
      <c r="H361" t="str">
        <v>Backend Engineer</v>
      </c>
      <c r="I361" t="str">
        <v>Product/Backend</v>
      </c>
      <c r="J361">
        <v>3</v>
      </c>
      <c r="K361">
        <v>18</v>
      </c>
      <c r="L361">
        <v>2.6999999999999997</v>
      </c>
      <c r="M361">
        <v>20.7</v>
      </c>
      <c r="N361" t="str">
        <v>Not Started</v>
      </c>
    </row>
    <row r="362">
      <c r="A362" t="str">
        <v>479</v>
      </c>
      <c r="B362" t="str">
        <v>E15</v>
      </c>
      <c r="C362" t="str">
        <v>Daily Reward</v>
      </c>
      <c r="D362" t="str">
        <v>F15.2.T2</v>
      </c>
      <c r="E362" t="str">
        <v>Implementation</v>
      </c>
      <c r="F362" t="str">
        <v>MVP-P0</v>
      </c>
      <c r="G362" t="str">
        <v>CONFIRMED</v>
      </c>
      <c r="H362" t="str">
        <v>Backend Engineer</v>
      </c>
      <c r="I362" t="str">
        <v>Product/Backend</v>
      </c>
      <c r="J362">
        <v>4</v>
      </c>
      <c r="K362">
        <v>24</v>
      </c>
      <c r="L362">
        <v>3.5999999999999996</v>
      </c>
      <c r="M362">
        <v>27.6</v>
      </c>
      <c r="N362" t="str">
        <v>Not Started</v>
      </c>
    </row>
    <row r="363">
      <c r="A363" t="str">
        <v>480</v>
      </c>
      <c r="B363" t="str">
        <v>E15</v>
      </c>
      <c r="C363" t="str">
        <v>Daily Reward</v>
      </c>
      <c r="D363" t="str">
        <v>F15.2.T3</v>
      </c>
      <c r="E363" t="str">
        <v>Validation &amp; QA</v>
      </c>
      <c r="F363" t="str">
        <v>MVP-P0</v>
      </c>
      <c r="G363" t="str">
        <v>CONFIRMED</v>
      </c>
      <c r="H363" t="str">
        <v>QA Engineer</v>
      </c>
      <c r="I363" t="str">
        <v>Product/Backend</v>
      </c>
      <c r="J363">
        <v>3</v>
      </c>
      <c r="K363">
        <v>18</v>
      </c>
      <c r="L363">
        <v>2.6999999999999997</v>
      </c>
      <c r="M363">
        <v>20.7</v>
      </c>
      <c r="N363" t="str">
        <v>Not Started</v>
      </c>
    </row>
    <row r="364">
      <c r="A364" t="str">
        <v>482</v>
      </c>
      <c r="B364" t="str">
        <v>E15</v>
      </c>
      <c r="C364" t="str">
        <v>Daily Reward</v>
      </c>
      <c r="D364" t="str">
        <v>F15.3.T1</v>
      </c>
      <c r="E364" t="str">
        <v>Analysis &amp; Design</v>
      </c>
      <c r="F364" t="str">
        <v>MVP-P0</v>
      </c>
      <c r="G364" t="str">
        <v>CONFIRMED</v>
      </c>
      <c r="H364" t="str">
        <v>UI Engineer</v>
      </c>
      <c r="I364" t="str">
        <v>Product/Backend</v>
      </c>
      <c r="J364">
        <v>3</v>
      </c>
      <c r="K364">
        <v>18</v>
      </c>
      <c r="L364">
        <v>2.6999999999999997</v>
      </c>
      <c r="M364">
        <v>20.7</v>
      </c>
      <c r="N364" t="str">
        <v>Not Started</v>
      </c>
    </row>
    <row r="365">
      <c r="A365" t="str">
        <v>483</v>
      </c>
      <c r="B365" t="str">
        <v>E15</v>
      </c>
      <c r="C365" t="str">
        <v>Daily Reward</v>
      </c>
      <c r="D365" t="str">
        <v>F15.3.T2</v>
      </c>
      <c r="E365" t="str">
        <v>Implementation</v>
      </c>
      <c r="F365" t="str">
        <v>MVP-P0</v>
      </c>
      <c r="G365" t="str">
        <v>CONFIRMED</v>
      </c>
      <c r="H365" t="str">
        <v>UI Engineer</v>
      </c>
      <c r="I365" t="str">
        <v>Product/Backend</v>
      </c>
      <c r="J365">
        <v>4</v>
      </c>
      <c r="K365">
        <v>24</v>
      </c>
      <c r="L365">
        <v>3.5999999999999996</v>
      </c>
      <c r="M365">
        <v>27.6</v>
      </c>
      <c r="N365" t="str">
        <v>Not Started</v>
      </c>
    </row>
    <row r="366">
      <c r="A366" t="str">
        <v>484</v>
      </c>
      <c r="B366" t="str">
        <v>E15</v>
      </c>
      <c r="C366" t="str">
        <v>Daily Reward</v>
      </c>
      <c r="D366" t="str">
        <v>F15.3.T3</v>
      </c>
      <c r="E366" t="str">
        <v>Validation &amp; QA</v>
      </c>
      <c r="F366" t="str">
        <v>MVP-P0</v>
      </c>
      <c r="G366" t="str">
        <v>CONFIRMED</v>
      </c>
      <c r="H366" t="str">
        <v>QA Engineer</v>
      </c>
      <c r="I366" t="str">
        <v>Product/Backend</v>
      </c>
      <c r="J366">
        <v>3</v>
      </c>
      <c r="K366">
        <v>18</v>
      </c>
      <c r="L366">
        <v>2.6999999999999997</v>
      </c>
      <c r="M366">
        <v>20.7</v>
      </c>
      <c r="N366" t="str">
        <v>Not Started</v>
      </c>
    </row>
    <row r="367">
      <c r="A367" t="str">
        <v>486</v>
      </c>
      <c r="B367" t="str">
        <v>E15</v>
      </c>
      <c r="C367" t="str">
        <v>Daily Reward</v>
      </c>
      <c r="D367" t="str">
        <v>F15.4.T1</v>
      </c>
      <c r="E367" t="str">
        <v>Analysis &amp; Design</v>
      </c>
      <c r="F367" t="str">
        <v>MVP-P0</v>
      </c>
      <c r="G367" t="str">
        <v>CONFIRMED</v>
      </c>
      <c r="H367" t="str">
        <v>Analytics Engineer</v>
      </c>
      <c r="I367" t="str">
        <v>Product/Backend</v>
      </c>
      <c r="J367">
        <v>2</v>
      </c>
      <c r="K367">
        <v>12</v>
      </c>
      <c r="L367">
        <v>1.7999999999999998</v>
      </c>
      <c r="M367">
        <v>13.8</v>
      </c>
      <c r="N367" t="str">
        <v>Not Started</v>
      </c>
    </row>
    <row r="368">
      <c r="A368" t="str">
        <v>487</v>
      </c>
      <c r="B368" t="str">
        <v>E15</v>
      </c>
      <c r="C368" t="str">
        <v>Daily Reward</v>
      </c>
      <c r="D368" t="str">
        <v>F15.4.T2</v>
      </c>
      <c r="E368" t="str">
        <v>Implementation</v>
      </c>
      <c r="F368" t="str">
        <v>MVP-P0</v>
      </c>
      <c r="G368" t="str">
        <v>CONFIRMED</v>
      </c>
      <c r="H368" t="str">
        <v>Analytics Engineer</v>
      </c>
      <c r="I368" t="str">
        <v>Product/Backend</v>
      </c>
      <c r="J368">
        <v>3</v>
      </c>
      <c r="K368">
        <v>18</v>
      </c>
      <c r="L368">
        <v>2.6999999999999997</v>
      </c>
      <c r="M368">
        <v>20.7</v>
      </c>
      <c r="N368" t="str">
        <v>Not Started</v>
      </c>
    </row>
    <row r="369">
      <c r="A369" t="str">
        <v>488</v>
      </c>
      <c r="B369" t="str">
        <v>E15</v>
      </c>
      <c r="C369" t="str">
        <v>Daily Reward</v>
      </c>
      <c r="D369" t="str">
        <v>F15.4.T3</v>
      </c>
      <c r="E369" t="str">
        <v>Validation &amp; QA</v>
      </c>
      <c r="F369" t="str">
        <v>MVP-P0</v>
      </c>
      <c r="G369" t="str">
        <v>CONFIRMED</v>
      </c>
      <c r="H369" t="str">
        <v>QA Engineer</v>
      </c>
      <c r="I369" t="str">
        <v>Product/Backend</v>
      </c>
      <c r="J369">
        <v>2</v>
      </c>
      <c r="K369">
        <v>12</v>
      </c>
      <c r="L369">
        <v>1.7999999999999998</v>
      </c>
      <c r="M369">
        <v>13.8</v>
      </c>
      <c r="N369" t="str">
        <v>Not Started</v>
      </c>
    </row>
    <row r="370">
      <c r="A370" t="str">
        <v>490</v>
      </c>
      <c r="B370" t="str">
        <v>E16</v>
      </c>
      <c r="C370" t="str">
        <v>Daily Challenge</v>
      </c>
      <c r="D370" t="str">
        <v>F16.1.T1</v>
      </c>
      <c r="E370" t="str">
        <v>Analysis &amp; Design</v>
      </c>
      <c r="F370" t="str">
        <v>MVP-P0</v>
      </c>
      <c r="G370" t="str">
        <v>CONFIRMED</v>
      </c>
      <c r="H370" t="str">
        <v>Backend/Game Designer</v>
      </c>
      <c r="I370" t="str">
        <v>Product/Game Design</v>
      </c>
      <c r="J370">
        <v>3</v>
      </c>
      <c r="K370">
        <v>18</v>
      </c>
      <c r="L370">
        <v>2.6999999999999997</v>
      </c>
      <c r="M370">
        <v>20.7</v>
      </c>
      <c r="N370" t="str">
        <v>Not Started</v>
      </c>
    </row>
    <row r="371">
      <c r="A371" t="str">
        <v>491</v>
      </c>
      <c r="B371" t="str">
        <v>E16</v>
      </c>
      <c r="C371" t="str">
        <v>Daily Challenge</v>
      </c>
      <c r="D371" t="str">
        <v>F16.1.T2</v>
      </c>
      <c r="E371" t="str">
        <v>Implementation</v>
      </c>
      <c r="F371" t="str">
        <v>MVP-P0</v>
      </c>
      <c r="G371" t="str">
        <v>CONFIRMED</v>
      </c>
      <c r="H371" t="str">
        <v>Backend/Game Designer</v>
      </c>
      <c r="I371" t="str">
        <v>Product/Game Design</v>
      </c>
      <c r="J371">
        <v>4</v>
      </c>
      <c r="K371">
        <v>24</v>
      </c>
      <c r="L371">
        <v>3.5999999999999996</v>
      </c>
      <c r="M371">
        <v>27.6</v>
      </c>
      <c r="N371" t="str">
        <v>Not Started</v>
      </c>
    </row>
    <row r="372">
      <c r="A372" t="str">
        <v>492</v>
      </c>
      <c r="B372" t="str">
        <v>E16</v>
      </c>
      <c r="C372" t="str">
        <v>Daily Challenge</v>
      </c>
      <c r="D372" t="str">
        <v>F16.1.T3</v>
      </c>
      <c r="E372" t="str">
        <v>Validation &amp; QA</v>
      </c>
      <c r="F372" t="str">
        <v>MVP-P0</v>
      </c>
      <c r="G372" t="str">
        <v>CONFIRMED</v>
      </c>
      <c r="H372" t="str">
        <v>QA Engineer</v>
      </c>
      <c r="I372" t="str">
        <v>Product/Game Design</v>
      </c>
      <c r="J372">
        <v>3</v>
      </c>
      <c r="K372">
        <v>18</v>
      </c>
      <c r="L372">
        <v>2.6999999999999997</v>
      </c>
      <c r="M372">
        <v>20.7</v>
      </c>
      <c r="N372" t="str">
        <v>Not Started</v>
      </c>
    </row>
    <row r="373">
      <c r="A373" t="str">
        <v>494</v>
      </c>
      <c r="B373" t="str">
        <v>E16</v>
      </c>
      <c r="C373" t="str">
        <v>Daily Challenge</v>
      </c>
      <c r="D373" t="str">
        <v>F16.2.T1</v>
      </c>
      <c r="E373" t="str">
        <v>Analysis &amp; Design</v>
      </c>
      <c r="F373" t="str">
        <v>MVP-P0</v>
      </c>
      <c r="G373" t="str">
        <v>CONFIRMED</v>
      </c>
      <c r="H373" t="str">
        <v>Solver/Backend Engineer</v>
      </c>
      <c r="I373" t="str">
        <v>Product/Game Design</v>
      </c>
      <c r="J373">
        <v>5</v>
      </c>
      <c r="K373">
        <v>30</v>
      </c>
      <c r="L373">
        <v>4.5</v>
      </c>
      <c r="M373">
        <v>34.5</v>
      </c>
      <c r="N373" t="str">
        <v>Not Started</v>
      </c>
    </row>
    <row r="374">
      <c r="A374" t="str">
        <v>495</v>
      </c>
      <c r="B374" t="str">
        <v>E16</v>
      </c>
      <c r="C374" t="str">
        <v>Daily Challenge</v>
      </c>
      <c r="D374" t="str">
        <v>F16.2.T2</v>
      </c>
      <c r="E374" t="str">
        <v>Implementation</v>
      </c>
      <c r="F374" t="str">
        <v>MVP-P0</v>
      </c>
      <c r="G374" t="str">
        <v>CONFIRMED</v>
      </c>
      <c r="H374" t="str">
        <v>Solver/Backend Engineer</v>
      </c>
      <c r="I374" t="str">
        <v>Product/Game Design</v>
      </c>
      <c r="J374">
        <v>7</v>
      </c>
      <c r="K374">
        <v>42</v>
      </c>
      <c r="L374">
        <v>6.3</v>
      </c>
      <c r="M374">
        <v>48.3</v>
      </c>
      <c r="N374" t="str">
        <v>Not Started</v>
      </c>
    </row>
    <row r="375">
      <c r="A375" t="str">
        <v>496</v>
      </c>
      <c r="B375" t="str">
        <v>E16</v>
      </c>
      <c r="C375" t="str">
        <v>Daily Challenge</v>
      </c>
      <c r="D375" t="str">
        <v>F16.2.T3</v>
      </c>
      <c r="E375" t="str">
        <v>Validation &amp; QA</v>
      </c>
      <c r="F375" t="str">
        <v>MVP-P0</v>
      </c>
      <c r="G375" t="str">
        <v>CONFIRMED</v>
      </c>
      <c r="H375" t="str">
        <v>QA Engineer</v>
      </c>
      <c r="I375" t="str">
        <v>Product/Game Design</v>
      </c>
      <c r="J375">
        <v>5</v>
      </c>
      <c r="K375">
        <v>30</v>
      </c>
      <c r="L375">
        <v>4.5</v>
      </c>
      <c r="M375">
        <v>34.5</v>
      </c>
      <c r="N375" t="str">
        <v>Not Started</v>
      </c>
    </row>
    <row r="376">
      <c r="A376" t="str">
        <v>498</v>
      </c>
      <c r="B376" t="str">
        <v>E16</v>
      </c>
      <c r="C376" t="str">
        <v>Daily Challenge</v>
      </c>
      <c r="D376" t="str">
        <v>F16.3.T1</v>
      </c>
      <c r="E376" t="str">
        <v>Analysis &amp; Design</v>
      </c>
      <c r="F376" t="str">
        <v>MVP-P0</v>
      </c>
      <c r="G376" t="str">
        <v>CONFIRMED</v>
      </c>
      <c r="H376" t="str">
        <v>UI Engineer</v>
      </c>
      <c r="I376" t="str">
        <v>Product/Game Design</v>
      </c>
      <c r="J376">
        <v>5</v>
      </c>
      <c r="K376">
        <v>30</v>
      </c>
      <c r="L376">
        <v>4.5</v>
      </c>
      <c r="M376">
        <v>34.5</v>
      </c>
      <c r="N376" t="str">
        <v>Not Started</v>
      </c>
    </row>
    <row r="377">
      <c r="A377" t="str">
        <v>499</v>
      </c>
      <c r="B377" t="str">
        <v>E16</v>
      </c>
      <c r="C377" t="str">
        <v>Daily Challenge</v>
      </c>
      <c r="D377" t="str">
        <v>F16.3.T2</v>
      </c>
      <c r="E377" t="str">
        <v>Implementation</v>
      </c>
      <c r="F377" t="str">
        <v>MVP-P0</v>
      </c>
      <c r="G377" t="str">
        <v>CONFIRMED</v>
      </c>
      <c r="H377" t="str">
        <v>UI Engineer</v>
      </c>
      <c r="I377" t="str">
        <v>Product/Game Design</v>
      </c>
      <c r="J377">
        <v>7</v>
      </c>
      <c r="K377">
        <v>42</v>
      </c>
      <c r="L377">
        <v>6.3</v>
      </c>
      <c r="M377">
        <v>48.3</v>
      </c>
      <c r="N377" t="str">
        <v>Not Started</v>
      </c>
    </row>
    <row r="378">
      <c r="A378" t="str">
        <v>500</v>
      </c>
      <c r="B378" t="str">
        <v>E16</v>
      </c>
      <c r="C378" t="str">
        <v>Daily Challenge</v>
      </c>
      <c r="D378" t="str">
        <v>F16.3.T3</v>
      </c>
      <c r="E378" t="str">
        <v>Validation &amp; QA</v>
      </c>
      <c r="F378" t="str">
        <v>MVP-P0</v>
      </c>
      <c r="G378" t="str">
        <v>CONFIRMED</v>
      </c>
      <c r="H378" t="str">
        <v>QA Engineer</v>
      </c>
      <c r="I378" t="str">
        <v>Product/Game Design</v>
      </c>
      <c r="J378">
        <v>5</v>
      </c>
      <c r="K378">
        <v>30</v>
      </c>
      <c r="L378">
        <v>4.5</v>
      </c>
      <c r="M378">
        <v>34.5</v>
      </c>
      <c r="N378" t="str">
        <v>Not Started</v>
      </c>
    </row>
    <row r="379">
      <c r="A379" t="str">
        <v>502</v>
      </c>
      <c r="B379" t="str">
        <v>E16</v>
      </c>
      <c r="C379" t="str">
        <v>Daily Challenge</v>
      </c>
      <c r="D379" t="str">
        <v>F16.4.T1</v>
      </c>
      <c r="E379" t="str">
        <v>Analysis &amp; Design</v>
      </c>
      <c r="F379" t="str">
        <v>MVP-P0</v>
      </c>
      <c r="G379" t="str">
        <v>CONFIRMED</v>
      </c>
      <c r="H379" t="str">
        <v>Backend Engineer</v>
      </c>
      <c r="I379" t="str">
        <v>Product/Game Design</v>
      </c>
      <c r="J379">
        <v>3</v>
      </c>
      <c r="K379">
        <v>18</v>
      </c>
      <c r="L379">
        <v>2.6999999999999997</v>
      </c>
      <c r="M379">
        <v>20.7</v>
      </c>
      <c r="N379" t="str">
        <v>Not Started</v>
      </c>
    </row>
    <row r="380">
      <c r="A380" t="str">
        <v>503</v>
      </c>
      <c r="B380" t="str">
        <v>E16</v>
      </c>
      <c r="C380" t="str">
        <v>Daily Challenge</v>
      </c>
      <c r="D380" t="str">
        <v>F16.4.T2</v>
      </c>
      <c r="E380" t="str">
        <v>Implementation</v>
      </c>
      <c r="F380" t="str">
        <v>MVP-P0</v>
      </c>
      <c r="G380" t="str">
        <v>CONFIRMED</v>
      </c>
      <c r="H380" t="str">
        <v>Backend Engineer</v>
      </c>
      <c r="I380" t="str">
        <v>Product/Game Design</v>
      </c>
      <c r="J380">
        <v>4</v>
      </c>
      <c r="K380">
        <v>24</v>
      </c>
      <c r="L380">
        <v>3.5999999999999996</v>
      </c>
      <c r="M380">
        <v>27.6</v>
      </c>
      <c r="N380" t="str">
        <v>Not Started</v>
      </c>
    </row>
    <row r="381">
      <c r="A381" t="str">
        <v>504</v>
      </c>
      <c r="B381" t="str">
        <v>E16</v>
      </c>
      <c r="C381" t="str">
        <v>Daily Challenge</v>
      </c>
      <c r="D381" t="str">
        <v>F16.4.T3</v>
      </c>
      <c r="E381" t="str">
        <v>Validation &amp; QA</v>
      </c>
      <c r="F381" t="str">
        <v>MVP-P0</v>
      </c>
      <c r="G381" t="str">
        <v>CONFIRMED</v>
      </c>
      <c r="H381" t="str">
        <v>QA Engineer</v>
      </c>
      <c r="I381" t="str">
        <v>Product/Game Design</v>
      </c>
      <c r="J381">
        <v>3</v>
      </c>
      <c r="K381">
        <v>18</v>
      </c>
      <c r="L381">
        <v>2.6999999999999997</v>
      </c>
      <c r="M381">
        <v>20.7</v>
      </c>
      <c r="N381" t="str">
        <v>Not Started</v>
      </c>
    </row>
    <row r="382">
      <c r="A382" t="str">
        <v>506</v>
      </c>
      <c r="B382" t="str">
        <v>E16</v>
      </c>
      <c r="C382" t="str">
        <v>Daily Challenge</v>
      </c>
      <c r="D382" t="str">
        <v>F16.5.T1</v>
      </c>
      <c r="E382" t="str">
        <v>Analysis &amp; Design</v>
      </c>
      <c r="F382" t="str">
        <v>MVP-P0</v>
      </c>
      <c r="G382" t="str">
        <v>CONFIRMED</v>
      </c>
      <c r="H382" t="str">
        <v>Analytics Engineer</v>
      </c>
      <c r="I382" t="str">
        <v>Product/Game Design</v>
      </c>
      <c r="J382">
        <v>2</v>
      </c>
      <c r="K382">
        <v>12</v>
      </c>
      <c r="L382">
        <v>1.7999999999999998</v>
      </c>
      <c r="M382">
        <v>13.8</v>
      </c>
      <c r="N382" t="str">
        <v>Not Started</v>
      </c>
    </row>
    <row r="383">
      <c r="A383" t="str">
        <v>507</v>
      </c>
      <c r="B383" t="str">
        <v>E16</v>
      </c>
      <c r="C383" t="str">
        <v>Daily Challenge</v>
      </c>
      <c r="D383" t="str">
        <v>F16.5.T2</v>
      </c>
      <c r="E383" t="str">
        <v>Implementation</v>
      </c>
      <c r="F383" t="str">
        <v>MVP-P0</v>
      </c>
      <c r="G383" t="str">
        <v>CONFIRMED</v>
      </c>
      <c r="H383" t="str">
        <v>Analytics Engineer</v>
      </c>
      <c r="I383" t="str">
        <v>Product/Game Design</v>
      </c>
      <c r="J383">
        <v>3</v>
      </c>
      <c r="K383">
        <v>18</v>
      </c>
      <c r="L383">
        <v>2.6999999999999997</v>
      </c>
      <c r="M383">
        <v>20.7</v>
      </c>
      <c r="N383" t="str">
        <v>Not Started</v>
      </c>
    </row>
    <row r="384">
      <c r="A384" t="str">
        <v>508</v>
      </c>
      <c r="B384" t="str">
        <v>E16</v>
      </c>
      <c r="C384" t="str">
        <v>Daily Challenge</v>
      </c>
      <c r="D384" t="str">
        <v>F16.5.T3</v>
      </c>
      <c r="E384" t="str">
        <v>Validation &amp; QA</v>
      </c>
      <c r="F384" t="str">
        <v>MVP-P0</v>
      </c>
      <c r="G384" t="str">
        <v>CONFIRMED</v>
      </c>
      <c r="H384" t="str">
        <v>QA Engineer</v>
      </c>
      <c r="I384" t="str">
        <v>Product/Game Design</v>
      </c>
      <c r="J384">
        <v>2</v>
      </c>
      <c r="K384">
        <v>12</v>
      </c>
      <c r="L384">
        <v>1.7999999999999998</v>
      </c>
      <c r="M384">
        <v>13.8</v>
      </c>
      <c r="N384" t="str">
        <v>Not Started</v>
      </c>
    </row>
    <row r="385">
      <c r="A385" t="str">
        <v>510</v>
      </c>
      <c r="B385" t="str">
        <v>E17</v>
      </c>
      <c r="C385" t="str">
        <v>Daily Streak &amp; Smart Notifications</v>
      </c>
      <c r="D385" t="str">
        <v>F17.1.T1</v>
      </c>
      <c r="E385" t="str">
        <v>Analysis &amp; Design</v>
      </c>
      <c r="F385" t="str">
        <v>MVP-P0</v>
      </c>
      <c r="G385" t="str">
        <v>CONFIRMED</v>
      </c>
      <c r="H385" t="str">
        <v>Backend Engineer</v>
      </c>
      <c r="I385" t="str">
        <v>Product/Backend</v>
      </c>
      <c r="J385">
        <v>3</v>
      </c>
      <c r="K385">
        <v>18</v>
      </c>
      <c r="L385">
        <v>2.6999999999999997</v>
      </c>
      <c r="M385">
        <v>20.7</v>
      </c>
      <c r="N385" t="str">
        <v>Not Started</v>
      </c>
    </row>
    <row r="386">
      <c r="A386" t="str">
        <v>511</v>
      </c>
      <c r="B386" t="str">
        <v>E17</v>
      </c>
      <c r="C386" t="str">
        <v>Daily Streak &amp; Smart Notifications</v>
      </c>
      <c r="D386" t="str">
        <v>F17.1.T2</v>
      </c>
      <c r="E386" t="str">
        <v>Implementation</v>
      </c>
      <c r="F386" t="str">
        <v>MVP-P0</v>
      </c>
      <c r="G386" t="str">
        <v>CONFIRMED</v>
      </c>
      <c r="H386" t="str">
        <v>Backend Engineer</v>
      </c>
      <c r="I386" t="str">
        <v>Product/Backend</v>
      </c>
      <c r="J386">
        <v>4</v>
      </c>
      <c r="K386">
        <v>24</v>
      </c>
      <c r="L386">
        <v>3.5999999999999996</v>
      </c>
      <c r="M386">
        <v>27.6</v>
      </c>
      <c r="N386" t="str">
        <v>Not Started</v>
      </c>
    </row>
    <row r="387">
      <c r="A387" t="str">
        <v>512</v>
      </c>
      <c r="B387" t="str">
        <v>E17</v>
      </c>
      <c r="C387" t="str">
        <v>Daily Streak &amp; Smart Notifications</v>
      </c>
      <c r="D387" t="str">
        <v>F17.1.T3</v>
      </c>
      <c r="E387" t="str">
        <v>Validation &amp; QA</v>
      </c>
      <c r="F387" t="str">
        <v>MVP-P0</v>
      </c>
      <c r="G387" t="str">
        <v>CONFIRMED</v>
      </c>
      <c r="H387" t="str">
        <v>QA Engineer</v>
      </c>
      <c r="I387" t="str">
        <v>Product/Backend</v>
      </c>
      <c r="J387">
        <v>3</v>
      </c>
      <c r="K387">
        <v>18</v>
      </c>
      <c r="L387">
        <v>2.6999999999999997</v>
      </c>
      <c r="M387">
        <v>20.7</v>
      </c>
      <c r="N387" t="str">
        <v>Not Started</v>
      </c>
    </row>
    <row r="388">
      <c r="A388" t="str">
        <v>514</v>
      </c>
      <c r="B388" t="str">
        <v>E17</v>
      </c>
      <c r="C388" t="str">
        <v>Daily Streak &amp; Smart Notifications</v>
      </c>
      <c r="D388" t="str">
        <v>F17.2.T1</v>
      </c>
      <c r="E388" t="str">
        <v>Analysis &amp; Design</v>
      </c>
      <c r="F388" t="str">
        <v>MVP-P0</v>
      </c>
      <c r="G388" t="str">
        <v>CONFIRMED</v>
      </c>
      <c r="H388" t="str">
        <v>UI Engineer</v>
      </c>
      <c r="I388" t="str">
        <v>Product/Backend</v>
      </c>
      <c r="J388">
        <v>2</v>
      </c>
      <c r="K388">
        <v>12</v>
      </c>
      <c r="L388">
        <v>1.7999999999999998</v>
      </c>
      <c r="M388">
        <v>13.8</v>
      </c>
      <c r="N388" t="str">
        <v>Not Started</v>
      </c>
    </row>
    <row r="389">
      <c r="A389" t="str">
        <v>515</v>
      </c>
      <c r="B389" t="str">
        <v>E17</v>
      </c>
      <c r="C389" t="str">
        <v>Daily Streak &amp; Smart Notifications</v>
      </c>
      <c r="D389" t="str">
        <v>F17.2.T2</v>
      </c>
      <c r="E389" t="str">
        <v>Implementation</v>
      </c>
      <c r="F389" t="str">
        <v>MVP-P0</v>
      </c>
      <c r="G389" t="str">
        <v>CONFIRMED</v>
      </c>
      <c r="H389" t="str">
        <v>UI Engineer</v>
      </c>
      <c r="I389" t="str">
        <v>Product/Backend</v>
      </c>
      <c r="J389">
        <v>3</v>
      </c>
      <c r="K389">
        <v>18</v>
      </c>
      <c r="L389">
        <v>2.6999999999999997</v>
      </c>
      <c r="M389">
        <v>20.7</v>
      </c>
      <c r="N389" t="str">
        <v>Not Started</v>
      </c>
    </row>
    <row r="390">
      <c r="A390" t="str">
        <v>516</v>
      </c>
      <c r="B390" t="str">
        <v>E17</v>
      </c>
      <c r="C390" t="str">
        <v>Daily Streak &amp; Smart Notifications</v>
      </c>
      <c r="D390" t="str">
        <v>F17.2.T3</v>
      </c>
      <c r="E390" t="str">
        <v>Validation &amp; QA</v>
      </c>
      <c r="F390" t="str">
        <v>MVP-P0</v>
      </c>
      <c r="G390" t="str">
        <v>CONFIRMED</v>
      </c>
      <c r="H390" t="str">
        <v>QA Engineer</v>
      </c>
      <c r="I390" t="str">
        <v>Product/Backend</v>
      </c>
      <c r="J390">
        <v>2</v>
      </c>
      <c r="K390">
        <v>12</v>
      </c>
      <c r="L390">
        <v>1.7999999999999998</v>
      </c>
      <c r="M390">
        <v>13.8</v>
      </c>
      <c r="N390" t="str">
        <v>Not Started</v>
      </c>
    </row>
    <row r="391">
      <c r="A391" t="str">
        <v>518</v>
      </c>
      <c r="B391" t="str">
        <v>E17</v>
      </c>
      <c r="C391" t="str">
        <v>Daily Streak &amp; Smart Notifications</v>
      </c>
      <c r="D391" t="str">
        <v>F17.3.T1</v>
      </c>
      <c r="E391" t="str">
        <v>Analysis &amp; Design</v>
      </c>
      <c r="F391" t="str">
        <v>MVP-P0</v>
      </c>
      <c r="G391" t="str">
        <v>CONFIRMED</v>
      </c>
      <c r="H391" t="str">
        <v>Mobile/Backend Engineer</v>
      </c>
      <c r="I391" t="str">
        <v>Product/Backend</v>
      </c>
      <c r="J391">
        <v>3</v>
      </c>
      <c r="K391">
        <v>18</v>
      </c>
      <c r="L391">
        <v>2.6999999999999997</v>
      </c>
      <c r="M391">
        <v>20.7</v>
      </c>
      <c r="N391" t="str">
        <v>Not Started</v>
      </c>
    </row>
    <row r="392">
      <c r="A392" t="str">
        <v>519</v>
      </c>
      <c r="B392" t="str">
        <v>E17</v>
      </c>
      <c r="C392" t="str">
        <v>Daily Streak &amp; Smart Notifications</v>
      </c>
      <c r="D392" t="str">
        <v>F17.3.T2</v>
      </c>
      <c r="E392" t="str">
        <v>Implementation</v>
      </c>
      <c r="F392" t="str">
        <v>MVP-P0</v>
      </c>
      <c r="G392" t="str">
        <v>CONFIRMED</v>
      </c>
      <c r="H392" t="str">
        <v>Mobile/Backend Engineer</v>
      </c>
      <c r="I392" t="str">
        <v>Product/Backend</v>
      </c>
      <c r="J392">
        <v>4</v>
      </c>
      <c r="K392">
        <v>24</v>
      </c>
      <c r="L392">
        <v>3.5999999999999996</v>
      </c>
      <c r="M392">
        <v>27.6</v>
      </c>
      <c r="N392" t="str">
        <v>Not Started</v>
      </c>
    </row>
    <row r="393">
      <c r="A393" t="str">
        <v>520</v>
      </c>
      <c r="B393" t="str">
        <v>E17</v>
      </c>
      <c r="C393" t="str">
        <v>Daily Streak &amp; Smart Notifications</v>
      </c>
      <c r="D393" t="str">
        <v>F17.3.T3</v>
      </c>
      <c r="E393" t="str">
        <v>Validation &amp; QA</v>
      </c>
      <c r="F393" t="str">
        <v>MVP-P0</v>
      </c>
      <c r="G393" t="str">
        <v>CONFIRMED</v>
      </c>
      <c r="H393" t="str">
        <v>QA Engineer</v>
      </c>
      <c r="I393" t="str">
        <v>Product/Backend</v>
      </c>
      <c r="J393">
        <v>3</v>
      </c>
      <c r="K393">
        <v>18</v>
      </c>
      <c r="L393">
        <v>2.6999999999999997</v>
      </c>
      <c r="M393">
        <v>20.7</v>
      </c>
      <c r="N393" t="str">
        <v>Not Started</v>
      </c>
    </row>
    <row r="394">
      <c r="A394" t="str">
        <v>522</v>
      </c>
      <c r="B394" t="str">
        <v>E17</v>
      </c>
      <c r="C394" t="str">
        <v>Daily Streak &amp; Smart Notifications</v>
      </c>
      <c r="D394" t="str">
        <v>F17.4.T1</v>
      </c>
      <c r="E394" t="str">
        <v>Analysis &amp; Design</v>
      </c>
      <c r="F394" t="str">
        <v>MVP-P0</v>
      </c>
      <c r="G394" t="str">
        <v>CONFIRMED</v>
      </c>
      <c r="H394" t="str">
        <v>Backend Engineer</v>
      </c>
      <c r="I394" t="str">
        <v>Product/Backend</v>
      </c>
      <c r="J394">
        <v>3</v>
      </c>
      <c r="K394">
        <v>18</v>
      </c>
      <c r="L394">
        <v>2.6999999999999997</v>
      </c>
      <c r="M394">
        <v>20.7</v>
      </c>
      <c r="N394" t="str">
        <v>Not Started</v>
      </c>
    </row>
    <row r="395">
      <c r="A395" t="str">
        <v>523</v>
      </c>
      <c r="B395" t="str">
        <v>E17</v>
      </c>
      <c r="C395" t="str">
        <v>Daily Streak &amp; Smart Notifications</v>
      </c>
      <c r="D395" t="str">
        <v>F17.4.T2</v>
      </c>
      <c r="E395" t="str">
        <v>Implementation</v>
      </c>
      <c r="F395" t="str">
        <v>MVP-P0</v>
      </c>
      <c r="G395" t="str">
        <v>CONFIRMED</v>
      </c>
      <c r="H395" t="str">
        <v>Backend Engineer</v>
      </c>
      <c r="I395" t="str">
        <v>Product/Backend</v>
      </c>
      <c r="J395">
        <v>4</v>
      </c>
      <c r="K395">
        <v>24</v>
      </c>
      <c r="L395">
        <v>3.5999999999999996</v>
      </c>
      <c r="M395">
        <v>27.6</v>
      </c>
      <c r="N395" t="str">
        <v>Not Started</v>
      </c>
    </row>
    <row r="396">
      <c r="A396" t="str">
        <v>524</v>
      </c>
      <c r="B396" t="str">
        <v>E17</v>
      </c>
      <c r="C396" t="str">
        <v>Daily Streak &amp; Smart Notifications</v>
      </c>
      <c r="D396" t="str">
        <v>F17.4.T3</v>
      </c>
      <c r="E396" t="str">
        <v>Validation &amp; QA</v>
      </c>
      <c r="F396" t="str">
        <v>MVP-P0</v>
      </c>
      <c r="G396" t="str">
        <v>CONFIRMED</v>
      </c>
      <c r="H396" t="str">
        <v>QA Engineer</v>
      </c>
      <c r="I396" t="str">
        <v>Product/Backend</v>
      </c>
      <c r="J396">
        <v>3</v>
      </c>
      <c r="K396">
        <v>18</v>
      </c>
      <c r="L396">
        <v>2.6999999999999997</v>
      </c>
      <c r="M396">
        <v>20.7</v>
      </c>
      <c r="N396" t="str">
        <v>Not Started</v>
      </c>
    </row>
    <row r="397">
      <c r="A397" t="str">
        <v>526</v>
      </c>
      <c r="B397" t="str">
        <v>E17</v>
      </c>
      <c r="C397" t="str">
        <v>Daily Streak &amp; Smart Notifications</v>
      </c>
      <c r="D397" t="str">
        <v>F17.5.T1</v>
      </c>
      <c r="E397" t="str">
        <v>Analysis &amp; Design</v>
      </c>
      <c r="F397" t="str">
        <v>MVP-P0</v>
      </c>
      <c r="G397" t="str">
        <v>CONFIRMED</v>
      </c>
      <c r="H397" t="str">
        <v>Mobile Engineer</v>
      </c>
      <c r="I397" t="str">
        <v>Product/Backend</v>
      </c>
      <c r="J397">
        <v>2</v>
      </c>
      <c r="K397">
        <v>12</v>
      </c>
      <c r="L397">
        <v>1.7999999999999998</v>
      </c>
      <c r="M397">
        <v>13.8</v>
      </c>
      <c r="N397" t="str">
        <v>Not Started</v>
      </c>
    </row>
    <row r="398">
      <c r="A398" t="str">
        <v>527</v>
      </c>
      <c r="B398" t="str">
        <v>E17</v>
      </c>
      <c r="C398" t="str">
        <v>Daily Streak &amp; Smart Notifications</v>
      </c>
      <c r="D398" t="str">
        <v>F17.5.T2</v>
      </c>
      <c r="E398" t="str">
        <v>Implementation</v>
      </c>
      <c r="F398" t="str">
        <v>MVP-P0</v>
      </c>
      <c r="G398" t="str">
        <v>CONFIRMED</v>
      </c>
      <c r="H398" t="str">
        <v>Mobile Engineer</v>
      </c>
      <c r="I398" t="str">
        <v>Product/Backend</v>
      </c>
      <c r="J398">
        <v>3</v>
      </c>
      <c r="K398">
        <v>18</v>
      </c>
      <c r="L398">
        <v>2.6999999999999997</v>
      </c>
      <c r="M398">
        <v>20.7</v>
      </c>
      <c r="N398" t="str">
        <v>Not Started</v>
      </c>
    </row>
    <row r="399">
      <c r="A399" t="str">
        <v>528</v>
      </c>
      <c r="B399" t="str">
        <v>E17</v>
      </c>
      <c r="C399" t="str">
        <v>Daily Streak &amp; Smart Notifications</v>
      </c>
      <c r="D399" t="str">
        <v>F17.5.T3</v>
      </c>
      <c r="E399" t="str">
        <v>Validation &amp; QA</v>
      </c>
      <c r="F399" t="str">
        <v>MVP-P0</v>
      </c>
      <c r="G399" t="str">
        <v>CONFIRMED</v>
      </c>
      <c r="H399" t="str">
        <v>QA Engineer</v>
      </c>
      <c r="I399" t="str">
        <v>Product/Backend</v>
      </c>
      <c r="J399">
        <v>2</v>
      </c>
      <c r="K399">
        <v>12</v>
      </c>
      <c r="L399">
        <v>1.7999999999999998</v>
      </c>
      <c r="M399">
        <v>13.8</v>
      </c>
      <c r="N399" t="str">
        <v>Not Started</v>
      </c>
    </row>
    <row r="400">
      <c r="A400" t="str">
        <v>530</v>
      </c>
      <c r="B400" t="str">
        <v>E18</v>
      </c>
      <c r="C400" t="str">
        <v>QA &amp; Automated Validation</v>
      </c>
      <c r="D400" t="str">
        <v>F18.1.T1</v>
      </c>
      <c r="E400" t="str">
        <v>Analysis &amp; Design</v>
      </c>
      <c r="F400" t="str">
        <v>MVP-P0</v>
      </c>
      <c r="G400" t="str">
        <v>CONFIRMED</v>
      </c>
      <c r="H400" t="str">
        <v>QA/Game Engineer</v>
      </c>
      <c r="I400" t="str">
        <v>QA</v>
      </c>
      <c r="J400">
        <v>5</v>
      </c>
      <c r="K400">
        <v>30</v>
      </c>
      <c r="L400">
        <v>4.5</v>
      </c>
      <c r="M400">
        <v>34.5</v>
      </c>
      <c r="N400" t="str">
        <v>Not Started</v>
      </c>
    </row>
    <row r="401">
      <c r="A401" t="str">
        <v>531</v>
      </c>
      <c r="B401" t="str">
        <v>E18</v>
      </c>
      <c r="C401" t="str">
        <v>QA &amp; Automated Validation</v>
      </c>
      <c r="D401" t="str">
        <v>F18.1.T2</v>
      </c>
      <c r="E401" t="str">
        <v>Implementation</v>
      </c>
      <c r="F401" t="str">
        <v>MVP-P0</v>
      </c>
      <c r="G401" t="str">
        <v>CONFIRMED</v>
      </c>
      <c r="H401" t="str">
        <v>QA/Game Engineer</v>
      </c>
      <c r="I401" t="str">
        <v>QA</v>
      </c>
      <c r="J401">
        <v>7</v>
      </c>
      <c r="K401">
        <v>42</v>
      </c>
      <c r="L401">
        <v>6.3</v>
      </c>
      <c r="M401">
        <v>48.3</v>
      </c>
      <c r="N401" t="str">
        <v>Not Started</v>
      </c>
    </row>
    <row r="402">
      <c r="A402" t="str">
        <v>532</v>
      </c>
      <c r="B402" t="str">
        <v>E18</v>
      </c>
      <c r="C402" t="str">
        <v>QA &amp; Automated Validation</v>
      </c>
      <c r="D402" t="str">
        <v>F18.1.T3</v>
      </c>
      <c r="E402" t="str">
        <v>Validation &amp; QA</v>
      </c>
      <c r="F402" t="str">
        <v>MVP-P0</v>
      </c>
      <c r="G402" t="str">
        <v>CONFIRMED</v>
      </c>
      <c r="H402" t="str">
        <v>QA Engineer</v>
      </c>
      <c r="I402" t="str">
        <v>QA</v>
      </c>
      <c r="J402">
        <v>5</v>
      </c>
      <c r="K402">
        <v>30</v>
      </c>
      <c r="L402">
        <v>4.5</v>
      </c>
      <c r="M402">
        <v>34.5</v>
      </c>
      <c r="N402" t="str">
        <v>Not Started</v>
      </c>
    </row>
    <row r="403">
      <c r="A403" t="str">
        <v>534</v>
      </c>
      <c r="B403" t="str">
        <v>E18</v>
      </c>
      <c r="C403" t="str">
        <v>QA &amp; Automated Validation</v>
      </c>
      <c r="D403" t="str">
        <v>F18.2.T1</v>
      </c>
      <c r="E403" t="str">
        <v>Analysis &amp; Design</v>
      </c>
      <c r="F403" t="str">
        <v>MVP-P0</v>
      </c>
      <c r="G403" t="str">
        <v>PROPOSED</v>
      </c>
      <c r="H403" t="str">
        <v>QA Engineer</v>
      </c>
      <c r="I403" t="str">
        <v>QA</v>
      </c>
      <c r="J403">
        <v>5</v>
      </c>
      <c r="K403">
        <v>30</v>
      </c>
      <c r="L403">
        <v>4.5</v>
      </c>
      <c r="M403">
        <v>34.5</v>
      </c>
      <c r="N403" t="str">
        <v>Not Started</v>
      </c>
    </row>
    <row r="404">
      <c r="A404" t="str">
        <v>535</v>
      </c>
      <c r="B404" t="str">
        <v>E18</v>
      </c>
      <c r="C404" t="str">
        <v>QA &amp; Automated Validation</v>
      </c>
      <c r="D404" t="str">
        <v>F18.2.T2</v>
      </c>
      <c r="E404" t="str">
        <v>Implementation</v>
      </c>
      <c r="F404" t="str">
        <v>MVP-P0</v>
      </c>
      <c r="G404" t="str">
        <v>PROPOSED</v>
      </c>
      <c r="H404" t="str">
        <v>QA Engineer</v>
      </c>
      <c r="I404" t="str">
        <v>QA</v>
      </c>
      <c r="J404">
        <v>7</v>
      </c>
      <c r="K404">
        <v>42</v>
      </c>
      <c r="L404">
        <v>6.3</v>
      </c>
      <c r="M404">
        <v>48.3</v>
      </c>
      <c r="N404" t="str">
        <v>Not Started</v>
      </c>
    </row>
    <row r="405">
      <c r="A405" t="str">
        <v>536</v>
      </c>
      <c r="B405" t="str">
        <v>E18</v>
      </c>
      <c r="C405" t="str">
        <v>QA &amp; Automated Validation</v>
      </c>
      <c r="D405" t="str">
        <v>F18.2.T3</v>
      </c>
      <c r="E405" t="str">
        <v>Validation &amp; QA</v>
      </c>
      <c r="F405" t="str">
        <v>MVP-P0</v>
      </c>
      <c r="G405" t="str">
        <v>PROPOSED</v>
      </c>
      <c r="H405" t="str">
        <v>QA Engineer</v>
      </c>
      <c r="I405" t="str">
        <v>QA</v>
      </c>
      <c r="J405">
        <v>5</v>
      </c>
      <c r="K405">
        <v>30</v>
      </c>
      <c r="L405">
        <v>4.5</v>
      </c>
      <c r="M405">
        <v>34.5</v>
      </c>
      <c r="N405" t="str">
        <v>Not Started</v>
      </c>
    </row>
    <row r="406">
      <c r="A406" t="str">
        <v>538</v>
      </c>
      <c r="B406" t="str">
        <v>E18</v>
      </c>
      <c r="C406" t="str">
        <v>QA &amp; Automated Validation</v>
      </c>
      <c r="D406" t="str">
        <v>F18.3.T1</v>
      </c>
      <c r="E406" t="str">
        <v>Analysis &amp; Design</v>
      </c>
      <c r="F406" t="str">
        <v>MVP-P0</v>
      </c>
      <c r="G406" t="str">
        <v>CONFIRMED STRATEGY</v>
      </c>
      <c r="H406" t="str">
        <v>QA/Solver Engineer</v>
      </c>
      <c r="I406" t="str">
        <v>QA</v>
      </c>
      <c r="J406">
        <v>5</v>
      </c>
      <c r="K406">
        <v>30</v>
      </c>
      <c r="L406">
        <v>4.5</v>
      </c>
      <c r="M406">
        <v>34.5</v>
      </c>
      <c r="N406" t="str">
        <v>Not Started</v>
      </c>
    </row>
    <row r="407">
      <c r="A407" t="str">
        <v>539</v>
      </c>
      <c r="B407" t="str">
        <v>E18</v>
      </c>
      <c r="C407" t="str">
        <v>QA &amp; Automated Validation</v>
      </c>
      <c r="D407" t="str">
        <v>F18.3.T2</v>
      </c>
      <c r="E407" t="str">
        <v>Implementation</v>
      </c>
      <c r="F407" t="str">
        <v>MVP-P0</v>
      </c>
      <c r="G407" t="str">
        <v>CONFIRMED STRATEGY</v>
      </c>
      <c r="H407" t="str">
        <v>QA/Solver Engineer</v>
      </c>
      <c r="I407" t="str">
        <v>QA</v>
      </c>
      <c r="J407">
        <v>7</v>
      </c>
      <c r="K407">
        <v>42</v>
      </c>
      <c r="L407">
        <v>6.3</v>
      </c>
      <c r="M407">
        <v>48.3</v>
      </c>
      <c r="N407" t="str">
        <v>Not Started</v>
      </c>
    </row>
    <row r="408">
      <c r="A408" t="str">
        <v>540</v>
      </c>
      <c r="B408" t="str">
        <v>E18</v>
      </c>
      <c r="C408" t="str">
        <v>QA &amp; Automated Validation</v>
      </c>
      <c r="D408" t="str">
        <v>F18.3.T3</v>
      </c>
      <c r="E408" t="str">
        <v>Validation &amp; QA</v>
      </c>
      <c r="F408" t="str">
        <v>MVP-P0</v>
      </c>
      <c r="G408" t="str">
        <v>CONFIRMED STRATEGY</v>
      </c>
      <c r="H408" t="str">
        <v>QA Engineer</v>
      </c>
      <c r="I408" t="str">
        <v>QA</v>
      </c>
      <c r="J408">
        <v>5</v>
      </c>
      <c r="K408">
        <v>30</v>
      </c>
      <c r="L408">
        <v>4.5</v>
      </c>
      <c r="M408">
        <v>34.5</v>
      </c>
      <c r="N408" t="str">
        <v>Not Started</v>
      </c>
    </row>
    <row r="409">
      <c r="A409" t="str">
        <v>542</v>
      </c>
      <c r="B409" t="str">
        <v>E18</v>
      </c>
      <c r="C409" t="str">
        <v>QA &amp; Automated Validation</v>
      </c>
      <c r="D409" t="str">
        <v>F18.4.T1</v>
      </c>
      <c r="E409" t="str">
        <v>Analysis &amp; Design</v>
      </c>
      <c r="F409" t="str">
        <v>MVP-P0</v>
      </c>
      <c r="G409" t="str">
        <v>CONFIRMED</v>
      </c>
      <c r="H409" t="str">
        <v>QA Engineer</v>
      </c>
      <c r="I409" t="str">
        <v>QA</v>
      </c>
      <c r="J409">
        <v>5</v>
      </c>
      <c r="K409">
        <v>30</v>
      </c>
      <c r="L409">
        <v>4.5</v>
      </c>
      <c r="M409">
        <v>34.5</v>
      </c>
      <c r="N409" t="str">
        <v>Not Started</v>
      </c>
    </row>
    <row r="410">
      <c r="A410" t="str">
        <v>543</v>
      </c>
      <c r="B410" t="str">
        <v>E18</v>
      </c>
      <c r="C410" t="str">
        <v>QA &amp; Automated Validation</v>
      </c>
      <c r="D410" t="str">
        <v>F18.4.T2</v>
      </c>
      <c r="E410" t="str">
        <v>Implementation</v>
      </c>
      <c r="F410" t="str">
        <v>MVP-P0</v>
      </c>
      <c r="G410" t="str">
        <v>CONFIRMED</v>
      </c>
      <c r="H410" t="str">
        <v>QA Engineer</v>
      </c>
      <c r="I410" t="str">
        <v>QA</v>
      </c>
      <c r="J410">
        <v>7</v>
      </c>
      <c r="K410">
        <v>42</v>
      </c>
      <c r="L410">
        <v>6.3</v>
      </c>
      <c r="M410">
        <v>48.3</v>
      </c>
      <c r="N410" t="str">
        <v>Not Started</v>
      </c>
    </row>
    <row r="411">
      <c r="A411" t="str">
        <v>544</v>
      </c>
      <c r="B411" t="str">
        <v>E18</v>
      </c>
      <c r="C411" t="str">
        <v>QA &amp; Automated Validation</v>
      </c>
      <c r="D411" t="str">
        <v>F18.4.T3</v>
      </c>
      <c r="E411" t="str">
        <v>Validation &amp; QA</v>
      </c>
      <c r="F411" t="str">
        <v>MVP-P0</v>
      </c>
      <c r="G411" t="str">
        <v>CONFIRMED</v>
      </c>
      <c r="H411" t="str">
        <v>QA Engineer</v>
      </c>
      <c r="I411" t="str">
        <v>QA</v>
      </c>
      <c r="J411">
        <v>5</v>
      </c>
      <c r="K411">
        <v>30</v>
      </c>
      <c r="L411">
        <v>4.5</v>
      </c>
      <c r="M411">
        <v>34.5</v>
      </c>
      <c r="N411" t="str">
        <v>Not Started</v>
      </c>
    </row>
    <row r="412">
      <c r="A412" t="str">
        <v>546</v>
      </c>
      <c r="B412" t="str">
        <v>E18</v>
      </c>
      <c r="C412" t="str">
        <v>QA &amp; Automated Validation</v>
      </c>
      <c r="D412" t="str">
        <v>F18.5.T1</v>
      </c>
      <c r="E412" t="str">
        <v>Analysis &amp; Design</v>
      </c>
      <c r="F412" t="str">
        <v>MVP-P0</v>
      </c>
      <c r="G412" t="str">
        <v>CONFIRMED</v>
      </c>
      <c r="H412" t="str">
        <v>QA Engineer</v>
      </c>
      <c r="I412" t="str">
        <v>QA</v>
      </c>
      <c r="J412">
        <v>5</v>
      </c>
      <c r="K412">
        <v>30</v>
      </c>
      <c r="L412">
        <v>4.5</v>
      </c>
      <c r="M412">
        <v>34.5</v>
      </c>
      <c r="N412" t="str">
        <v>Not Started</v>
      </c>
    </row>
    <row r="413">
      <c r="A413" t="str">
        <v>547</v>
      </c>
      <c r="B413" t="str">
        <v>E18</v>
      </c>
      <c r="C413" t="str">
        <v>QA &amp; Automated Validation</v>
      </c>
      <c r="D413" t="str">
        <v>F18.5.T2</v>
      </c>
      <c r="E413" t="str">
        <v>Implementation</v>
      </c>
      <c r="F413" t="str">
        <v>MVP-P0</v>
      </c>
      <c r="G413" t="str">
        <v>CONFIRMED</v>
      </c>
      <c r="H413" t="str">
        <v>QA Engineer</v>
      </c>
      <c r="I413" t="str">
        <v>QA</v>
      </c>
      <c r="J413">
        <v>7</v>
      </c>
      <c r="K413">
        <v>42</v>
      </c>
      <c r="L413">
        <v>6.3</v>
      </c>
      <c r="M413">
        <v>48.3</v>
      </c>
      <c r="N413" t="str">
        <v>Not Started</v>
      </c>
    </row>
    <row r="414">
      <c r="A414" t="str">
        <v>548</v>
      </c>
      <c r="B414" t="str">
        <v>E18</v>
      </c>
      <c r="C414" t="str">
        <v>QA &amp; Automated Validation</v>
      </c>
      <c r="D414" t="str">
        <v>F18.5.T3</v>
      </c>
      <c r="E414" t="str">
        <v>Validation &amp; QA</v>
      </c>
      <c r="F414" t="str">
        <v>MVP-P0</v>
      </c>
      <c r="G414" t="str">
        <v>CONFIRMED</v>
      </c>
      <c r="H414" t="str">
        <v>QA Engineer</v>
      </c>
      <c r="I414" t="str">
        <v>QA</v>
      </c>
      <c r="J414">
        <v>5</v>
      </c>
      <c r="K414">
        <v>30</v>
      </c>
      <c r="L414">
        <v>4.5</v>
      </c>
      <c r="M414">
        <v>34.5</v>
      </c>
      <c r="N414" t="str">
        <v>Not Started</v>
      </c>
    </row>
    <row r="415">
      <c r="A415" t="str">
        <v>550</v>
      </c>
      <c r="B415" t="str">
        <v>E18</v>
      </c>
      <c r="C415" t="str">
        <v>QA &amp; Automated Validation</v>
      </c>
      <c r="D415" t="str">
        <v>F18.6.T1</v>
      </c>
      <c r="E415" t="str">
        <v>Analysis &amp; Design</v>
      </c>
      <c r="F415" t="str">
        <v>MVP-P0</v>
      </c>
      <c r="G415" t="str">
        <v>CONFIRMED</v>
      </c>
      <c r="H415" t="str">
        <v>Arabic Reviewer/QA</v>
      </c>
      <c r="I415" t="str">
        <v>QA</v>
      </c>
      <c r="J415">
        <v>3</v>
      </c>
      <c r="K415">
        <v>18</v>
      </c>
      <c r="L415">
        <v>2.6999999999999997</v>
      </c>
      <c r="M415">
        <v>20.7</v>
      </c>
      <c r="N415" t="str">
        <v>Not Started</v>
      </c>
    </row>
    <row r="416">
      <c r="A416" t="str">
        <v>551</v>
      </c>
      <c r="B416" t="str">
        <v>E18</v>
      </c>
      <c r="C416" t="str">
        <v>QA &amp; Automated Validation</v>
      </c>
      <c r="D416" t="str">
        <v>F18.6.T2</v>
      </c>
      <c r="E416" t="str">
        <v>Implementation</v>
      </c>
      <c r="F416" t="str">
        <v>MVP-P0</v>
      </c>
      <c r="G416" t="str">
        <v>CONFIRMED</v>
      </c>
      <c r="H416" t="str">
        <v>Arabic Reviewer/QA</v>
      </c>
      <c r="I416" t="str">
        <v>QA</v>
      </c>
      <c r="J416">
        <v>4</v>
      </c>
      <c r="K416">
        <v>24</v>
      </c>
      <c r="L416">
        <v>3.5999999999999996</v>
      </c>
      <c r="M416">
        <v>27.6</v>
      </c>
      <c r="N416" t="str">
        <v>Not Started</v>
      </c>
    </row>
    <row r="417">
      <c r="A417" t="str">
        <v>552</v>
      </c>
      <c r="B417" t="str">
        <v>E18</v>
      </c>
      <c r="C417" t="str">
        <v>QA &amp; Automated Validation</v>
      </c>
      <c r="D417" t="str">
        <v>F18.6.T3</v>
      </c>
      <c r="E417" t="str">
        <v>Validation &amp; QA</v>
      </c>
      <c r="F417" t="str">
        <v>MVP-P0</v>
      </c>
      <c r="G417" t="str">
        <v>CONFIRMED</v>
      </c>
      <c r="H417" t="str">
        <v>QA Engineer</v>
      </c>
      <c r="I417" t="str">
        <v>QA</v>
      </c>
      <c r="J417">
        <v>3</v>
      </c>
      <c r="K417">
        <v>18</v>
      </c>
      <c r="L417">
        <v>2.6999999999999997</v>
      </c>
      <c r="M417">
        <v>20.7</v>
      </c>
      <c r="N417" t="str">
        <v>Not Started</v>
      </c>
    </row>
    <row r="418">
      <c r="A418" t="str">
        <v>554</v>
      </c>
      <c r="B418" t="str">
        <v>E18</v>
      </c>
      <c r="C418" t="str">
        <v>QA &amp; Automated Validation</v>
      </c>
      <c r="D418" t="str">
        <v>F18.7.T1</v>
      </c>
      <c r="E418" t="str">
        <v>Analysis &amp; Design</v>
      </c>
      <c r="F418" t="str">
        <v>MVP-P0</v>
      </c>
      <c r="G418" t="str">
        <v>CONFIRMED</v>
      </c>
      <c r="H418" t="str">
        <v>QA Engineer</v>
      </c>
      <c r="I418" t="str">
        <v>QA</v>
      </c>
      <c r="J418">
        <v>3</v>
      </c>
      <c r="K418">
        <v>18</v>
      </c>
      <c r="L418">
        <v>2.6999999999999997</v>
      </c>
      <c r="M418">
        <v>20.7</v>
      </c>
      <c r="N418" t="str">
        <v>Not Started</v>
      </c>
    </row>
    <row r="419">
      <c r="A419" t="str">
        <v>555</v>
      </c>
      <c r="B419" t="str">
        <v>E18</v>
      </c>
      <c r="C419" t="str">
        <v>QA &amp; Automated Validation</v>
      </c>
      <c r="D419" t="str">
        <v>F18.7.T2</v>
      </c>
      <c r="E419" t="str">
        <v>Implementation</v>
      </c>
      <c r="F419" t="str">
        <v>MVP-P0</v>
      </c>
      <c r="G419" t="str">
        <v>CONFIRMED</v>
      </c>
      <c r="H419" t="str">
        <v>QA Engineer</v>
      </c>
      <c r="I419" t="str">
        <v>QA</v>
      </c>
      <c r="J419">
        <v>4</v>
      </c>
      <c r="K419">
        <v>24</v>
      </c>
      <c r="L419">
        <v>3.5999999999999996</v>
      </c>
      <c r="M419">
        <v>27.6</v>
      </c>
      <c r="N419" t="str">
        <v>Not Started</v>
      </c>
    </row>
    <row r="420">
      <c r="A420" t="str">
        <v>556</v>
      </c>
      <c r="B420" t="str">
        <v>E18</v>
      </c>
      <c r="C420" t="str">
        <v>QA &amp; Automated Validation</v>
      </c>
      <c r="D420" t="str">
        <v>F18.7.T3</v>
      </c>
      <c r="E420" t="str">
        <v>Validation &amp; QA</v>
      </c>
      <c r="F420" t="str">
        <v>MVP-P0</v>
      </c>
      <c r="G420" t="str">
        <v>CONFIRMED</v>
      </c>
      <c r="H420" t="str">
        <v>QA Engineer</v>
      </c>
      <c r="I420" t="str">
        <v>QA</v>
      </c>
      <c r="J420">
        <v>3</v>
      </c>
      <c r="K420">
        <v>18</v>
      </c>
      <c r="L420">
        <v>2.6999999999999997</v>
      </c>
      <c r="M420">
        <v>20.7</v>
      </c>
      <c r="N420" t="str">
        <v>Not Started</v>
      </c>
    </row>
    <row r="421">
      <c r="A421" t="str">
        <v>558</v>
      </c>
      <c r="B421" t="str">
        <v>E18</v>
      </c>
      <c r="C421" t="str">
        <v>QA &amp; Automated Validation</v>
      </c>
      <c r="D421" t="str">
        <v>F18.8.T1</v>
      </c>
      <c r="E421" t="str">
        <v>Analysis &amp; Design</v>
      </c>
      <c r="F421" t="str">
        <v>MVP-P0</v>
      </c>
      <c r="G421" t="str">
        <v>CONFIRMED</v>
      </c>
      <c r="H421" t="str">
        <v>QA Engineer</v>
      </c>
      <c r="I421" t="str">
        <v>QA</v>
      </c>
      <c r="J421">
        <v>3</v>
      </c>
      <c r="K421">
        <v>18</v>
      </c>
      <c r="L421">
        <v>2.6999999999999997</v>
      </c>
      <c r="M421">
        <v>20.7</v>
      </c>
      <c r="N421" t="str">
        <v>Not Started</v>
      </c>
    </row>
    <row r="422">
      <c r="A422" t="str">
        <v>559</v>
      </c>
      <c r="B422" t="str">
        <v>E18</v>
      </c>
      <c r="C422" t="str">
        <v>QA &amp; Automated Validation</v>
      </c>
      <c r="D422" t="str">
        <v>F18.8.T2</v>
      </c>
      <c r="E422" t="str">
        <v>Implementation</v>
      </c>
      <c r="F422" t="str">
        <v>MVP-P0</v>
      </c>
      <c r="G422" t="str">
        <v>CONFIRMED</v>
      </c>
      <c r="H422" t="str">
        <v>QA Engineer</v>
      </c>
      <c r="I422" t="str">
        <v>QA</v>
      </c>
      <c r="J422">
        <v>4</v>
      </c>
      <c r="K422">
        <v>24</v>
      </c>
      <c r="L422">
        <v>3.5999999999999996</v>
      </c>
      <c r="M422">
        <v>27.6</v>
      </c>
      <c r="N422" t="str">
        <v>Not Started</v>
      </c>
    </row>
    <row r="423">
      <c r="A423" t="str">
        <v>560</v>
      </c>
      <c r="B423" t="str">
        <v>E18</v>
      </c>
      <c r="C423" t="str">
        <v>QA &amp; Automated Validation</v>
      </c>
      <c r="D423" t="str">
        <v>F18.8.T3</v>
      </c>
      <c r="E423" t="str">
        <v>Validation &amp; QA</v>
      </c>
      <c r="F423" t="str">
        <v>MVP-P0</v>
      </c>
      <c r="G423" t="str">
        <v>CONFIRMED</v>
      </c>
      <c r="H423" t="str">
        <v>QA Engineer</v>
      </c>
      <c r="I423" t="str">
        <v>QA</v>
      </c>
      <c r="J423">
        <v>3</v>
      </c>
      <c r="K423">
        <v>18</v>
      </c>
      <c r="L423">
        <v>2.6999999999999997</v>
      </c>
      <c r="M423">
        <v>20.7</v>
      </c>
      <c r="N423" t="str">
        <v>Not Started</v>
      </c>
    </row>
    <row r="424">
      <c r="A424" t="str">
        <v>562</v>
      </c>
      <c r="B424" t="str">
        <v>E18</v>
      </c>
      <c r="C424" t="str">
        <v>QA &amp; Automated Validation</v>
      </c>
      <c r="D424" t="str">
        <v>F18.9.T1</v>
      </c>
      <c r="E424" t="str">
        <v>Analysis &amp; Design</v>
      </c>
      <c r="F424" t="str">
        <v>MVP-P0</v>
      </c>
      <c r="G424" t="str">
        <v>REQUIRED</v>
      </c>
      <c r="H424" t="str">
        <v>QA Engineer</v>
      </c>
      <c r="I424" t="str">
        <v>QA</v>
      </c>
      <c r="J424">
        <v>3</v>
      </c>
      <c r="K424">
        <v>18</v>
      </c>
      <c r="L424">
        <v>2.6999999999999997</v>
      </c>
      <c r="M424">
        <v>20.7</v>
      </c>
      <c r="N424" t="str">
        <v>Not Started</v>
      </c>
    </row>
    <row r="425">
      <c r="A425" t="str">
        <v>563</v>
      </c>
      <c r="B425" t="str">
        <v>E18</v>
      </c>
      <c r="C425" t="str">
        <v>QA &amp; Automated Validation</v>
      </c>
      <c r="D425" t="str">
        <v>F18.9.T2</v>
      </c>
      <c r="E425" t="str">
        <v>Implementation</v>
      </c>
      <c r="F425" t="str">
        <v>MVP-P0</v>
      </c>
      <c r="G425" t="str">
        <v>REQUIRED</v>
      </c>
      <c r="H425" t="str">
        <v>QA Engineer</v>
      </c>
      <c r="I425" t="str">
        <v>QA</v>
      </c>
      <c r="J425">
        <v>4</v>
      </c>
      <c r="K425">
        <v>24</v>
      </c>
      <c r="L425">
        <v>3.5999999999999996</v>
      </c>
      <c r="M425">
        <v>27.6</v>
      </c>
      <c r="N425" t="str">
        <v>Not Started</v>
      </c>
    </row>
    <row r="426">
      <c r="A426" t="str">
        <v>564</v>
      </c>
      <c r="B426" t="str">
        <v>E18</v>
      </c>
      <c r="C426" t="str">
        <v>QA &amp; Automated Validation</v>
      </c>
      <c r="D426" t="str">
        <v>F18.9.T3</v>
      </c>
      <c r="E426" t="str">
        <v>Validation &amp; QA</v>
      </c>
      <c r="F426" t="str">
        <v>MVP-P0</v>
      </c>
      <c r="G426" t="str">
        <v>REQUIRED</v>
      </c>
      <c r="H426" t="str">
        <v>QA Engineer</v>
      </c>
      <c r="I426" t="str">
        <v>QA</v>
      </c>
      <c r="J426">
        <v>3</v>
      </c>
      <c r="K426">
        <v>18</v>
      </c>
      <c r="L426">
        <v>2.6999999999999997</v>
      </c>
      <c r="M426">
        <v>20.7</v>
      </c>
      <c r="N426" t="str">
        <v>Not Started</v>
      </c>
    </row>
    <row r="427">
      <c r="A427" t="str">
        <v>566</v>
      </c>
      <c r="B427" t="str">
        <v>E18</v>
      </c>
      <c r="C427" t="str">
        <v>QA &amp; Automated Validation</v>
      </c>
      <c r="D427" t="str">
        <v>F18.10.T1</v>
      </c>
      <c r="E427" t="str">
        <v>Analysis &amp; Design</v>
      </c>
      <c r="F427" t="str">
        <v>MVP-P0</v>
      </c>
      <c r="G427" t="str">
        <v>REQUIRED</v>
      </c>
      <c r="H427" t="str">
        <v>QA Engineer</v>
      </c>
      <c r="I427" t="str">
        <v>QA</v>
      </c>
      <c r="J427">
        <v>5</v>
      </c>
      <c r="K427">
        <v>30</v>
      </c>
      <c r="L427">
        <v>4.5</v>
      </c>
      <c r="M427">
        <v>34.5</v>
      </c>
      <c r="N427" t="str">
        <v>Not Started</v>
      </c>
    </row>
    <row r="428">
      <c r="A428" t="str">
        <v>567</v>
      </c>
      <c r="B428" t="str">
        <v>E18</v>
      </c>
      <c r="C428" t="str">
        <v>QA &amp; Automated Validation</v>
      </c>
      <c r="D428" t="str">
        <v>F18.10.T2</v>
      </c>
      <c r="E428" t="str">
        <v>Implementation</v>
      </c>
      <c r="F428" t="str">
        <v>MVP-P0</v>
      </c>
      <c r="G428" t="str">
        <v>REQUIRED</v>
      </c>
      <c r="H428" t="str">
        <v>QA Engineer</v>
      </c>
      <c r="I428" t="str">
        <v>QA</v>
      </c>
      <c r="J428">
        <v>7</v>
      </c>
      <c r="K428">
        <v>42</v>
      </c>
      <c r="L428">
        <v>6.3</v>
      </c>
      <c r="M428">
        <v>48.3</v>
      </c>
      <c r="N428" t="str">
        <v>Not Started</v>
      </c>
    </row>
    <row r="429">
      <c r="A429" t="str">
        <v>568</v>
      </c>
      <c r="B429" t="str">
        <v>E18</v>
      </c>
      <c r="C429" t="str">
        <v>QA &amp; Automated Validation</v>
      </c>
      <c r="D429" t="str">
        <v>F18.10.T3</v>
      </c>
      <c r="E429" t="str">
        <v>Validation &amp; QA</v>
      </c>
      <c r="F429" t="str">
        <v>MVP-P0</v>
      </c>
      <c r="G429" t="str">
        <v>REQUIRED</v>
      </c>
      <c r="H429" t="str">
        <v>QA Engineer</v>
      </c>
      <c r="I429" t="str">
        <v>QA</v>
      </c>
      <c r="J429">
        <v>5</v>
      </c>
      <c r="K429">
        <v>30</v>
      </c>
      <c r="L429">
        <v>4.5</v>
      </c>
      <c r="M429">
        <v>34.5</v>
      </c>
      <c r="N429" t="str">
        <v>Not Started</v>
      </c>
    </row>
    <row r="430">
      <c r="A430" t="str">
        <v>570</v>
      </c>
      <c r="B430" t="str">
        <v>E19</v>
      </c>
      <c r="C430" t="str">
        <v>DevOps, Environments &amp; Release</v>
      </c>
      <c r="D430" t="str">
        <v>F19.1.T1</v>
      </c>
      <c r="E430" t="str">
        <v>Analysis &amp; Design</v>
      </c>
      <c r="F430" t="str">
        <v>MVP-P0</v>
      </c>
      <c r="G430" t="str">
        <v>PROPOSED</v>
      </c>
      <c r="H430" t="str">
        <v>DevOps/Tech Lead</v>
      </c>
      <c r="I430" t="str">
        <v>DevOps</v>
      </c>
      <c r="J430">
        <v>2</v>
      </c>
      <c r="K430">
        <v>12</v>
      </c>
      <c r="L430">
        <v>1.7999999999999998</v>
      </c>
      <c r="M430">
        <v>13.8</v>
      </c>
      <c r="N430" t="str">
        <v>Not Started</v>
      </c>
    </row>
    <row r="431">
      <c r="A431" t="str">
        <v>571</v>
      </c>
      <c r="B431" t="str">
        <v>E19</v>
      </c>
      <c r="C431" t="str">
        <v>DevOps, Environments &amp; Release</v>
      </c>
      <c r="D431" t="str">
        <v>F19.1.T2</v>
      </c>
      <c r="E431" t="str">
        <v>Implementation</v>
      </c>
      <c r="F431" t="str">
        <v>MVP-P0</v>
      </c>
      <c r="G431" t="str">
        <v>PROPOSED</v>
      </c>
      <c r="H431" t="str">
        <v>DevOps/Tech Lead</v>
      </c>
      <c r="I431" t="str">
        <v>DevOps</v>
      </c>
      <c r="J431">
        <v>3</v>
      </c>
      <c r="K431">
        <v>18</v>
      </c>
      <c r="L431">
        <v>2.6999999999999997</v>
      </c>
      <c r="M431">
        <v>20.7</v>
      </c>
      <c r="N431" t="str">
        <v>Not Started</v>
      </c>
    </row>
    <row r="432">
      <c r="A432" t="str">
        <v>572</v>
      </c>
      <c r="B432" t="str">
        <v>E19</v>
      </c>
      <c r="C432" t="str">
        <v>DevOps, Environments &amp; Release</v>
      </c>
      <c r="D432" t="str">
        <v>F19.1.T3</v>
      </c>
      <c r="E432" t="str">
        <v>Validation &amp; QA</v>
      </c>
      <c r="F432" t="str">
        <v>MVP-P0</v>
      </c>
      <c r="G432" t="str">
        <v>PROPOSED</v>
      </c>
      <c r="H432" t="str">
        <v>QA Engineer</v>
      </c>
      <c r="I432" t="str">
        <v>DevOps</v>
      </c>
      <c r="J432">
        <v>2</v>
      </c>
      <c r="K432">
        <v>12</v>
      </c>
      <c r="L432">
        <v>1.7999999999999998</v>
      </c>
      <c r="M432">
        <v>13.8</v>
      </c>
      <c r="N432" t="str">
        <v>Not Started</v>
      </c>
    </row>
    <row r="433">
      <c r="A433" t="str">
        <v>574</v>
      </c>
      <c r="B433" t="str">
        <v>E19</v>
      </c>
      <c r="C433" t="str">
        <v>DevOps, Environments &amp; Release</v>
      </c>
      <c r="D433" t="str">
        <v>F19.2.T1</v>
      </c>
      <c r="E433" t="str">
        <v>Analysis &amp; Design</v>
      </c>
      <c r="F433" t="str">
        <v>MVP-P0</v>
      </c>
      <c r="G433" t="str">
        <v>PROPOSED</v>
      </c>
      <c r="H433" t="str">
        <v>DevOps Engineer</v>
      </c>
      <c r="I433" t="str">
        <v>DevOps</v>
      </c>
      <c r="J433">
        <v>3</v>
      </c>
      <c r="K433">
        <v>18</v>
      </c>
      <c r="L433">
        <v>2.6999999999999997</v>
      </c>
      <c r="M433">
        <v>20.7</v>
      </c>
      <c r="N433" t="str">
        <v>Not Started</v>
      </c>
    </row>
    <row r="434">
      <c r="A434" t="str">
        <v>575</v>
      </c>
      <c r="B434" t="str">
        <v>E19</v>
      </c>
      <c r="C434" t="str">
        <v>DevOps, Environments &amp; Release</v>
      </c>
      <c r="D434" t="str">
        <v>F19.2.T2</v>
      </c>
      <c r="E434" t="str">
        <v>Implementation</v>
      </c>
      <c r="F434" t="str">
        <v>MVP-P0</v>
      </c>
      <c r="G434" t="str">
        <v>PROPOSED</v>
      </c>
      <c r="H434" t="str">
        <v>DevOps Engineer</v>
      </c>
      <c r="I434" t="str">
        <v>DevOps</v>
      </c>
      <c r="J434">
        <v>4</v>
      </c>
      <c r="K434">
        <v>24</v>
      </c>
      <c r="L434">
        <v>3.5999999999999996</v>
      </c>
      <c r="M434">
        <v>27.6</v>
      </c>
      <c r="N434" t="str">
        <v>Not Started</v>
      </c>
    </row>
    <row r="435">
      <c r="A435" t="str">
        <v>576</v>
      </c>
      <c r="B435" t="str">
        <v>E19</v>
      </c>
      <c r="C435" t="str">
        <v>DevOps, Environments &amp; Release</v>
      </c>
      <c r="D435" t="str">
        <v>F19.2.T3</v>
      </c>
      <c r="E435" t="str">
        <v>Validation &amp; QA</v>
      </c>
      <c r="F435" t="str">
        <v>MVP-P0</v>
      </c>
      <c r="G435" t="str">
        <v>PROPOSED</v>
      </c>
      <c r="H435" t="str">
        <v>QA Engineer</v>
      </c>
      <c r="I435" t="str">
        <v>DevOps</v>
      </c>
      <c r="J435">
        <v>3</v>
      </c>
      <c r="K435">
        <v>18</v>
      </c>
      <c r="L435">
        <v>2.6999999999999997</v>
      </c>
      <c r="M435">
        <v>20.7</v>
      </c>
      <c r="N435" t="str">
        <v>Not Started</v>
      </c>
    </row>
    <row r="436">
      <c r="A436" t="str">
        <v>578</v>
      </c>
      <c r="B436" t="str">
        <v>E19</v>
      </c>
      <c r="C436" t="str">
        <v>DevOps, Environments &amp; Release</v>
      </c>
      <c r="D436" t="str">
        <v>F19.3.T1</v>
      </c>
      <c r="E436" t="str">
        <v>Analysis &amp; Design</v>
      </c>
      <c r="F436" t="str">
        <v>MVP-P0</v>
      </c>
      <c r="G436" t="str">
        <v>PROPOSED</v>
      </c>
      <c r="H436" t="str">
        <v>DevOps Engineer</v>
      </c>
      <c r="I436" t="str">
        <v>DevOps</v>
      </c>
      <c r="J436">
        <v>3</v>
      </c>
      <c r="K436">
        <v>18</v>
      </c>
      <c r="L436">
        <v>2.6999999999999997</v>
      </c>
      <c r="M436">
        <v>20.7</v>
      </c>
      <c r="N436" t="str">
        <v>Not Started</v>
      </c>
    </row>
    <row r="437">
      <c r="A437" t="str">
        <v>579</v>
      </c>
      <c r="B437" t="str">
        <v>E19</v>
      </c>
      <c r="C437" t="str">
        <v>DevOps, Environments &amp; Release</v>
      </c>
      <c r="D437" t="str">
        <v>F19.3.T2</v>
      </c>
      <c r="E437" t="str">
        <v>Implementation</v>
      </c>
      <c r="F437" t="str">
        <v>MVP-P0</v>
      </c>
      <c r="G437" t="str">
        <v>PROPOSED</v>
      </c>
      <c r="H437" t="str">
        <v>DevOps Engineer</v>
      </c>
      <c r="I437" t="str">
        <v>DevOps</v>
      </c>
      <c r="J437">
        <v>4</v>
      </c>
      <c r="K437">
        <v>24</v>
      </c>
      <c r="L437">
        <v>3.5999999999999996</v>
      </c>
      <c r="M437">
        <v>27.6</v>
      </c>
      <c r="N437" t="str">
        <v>Not Started</v>
      </c>
    </row>
    <row r="438">
      <c r="A438" t="str">
        <v>580</v>
      </c>
      <c r="B438" t="str">
        <v>E19</v>
      </c>
      <c r="C438" t="str">
        <v>DevOps, Environments &amp; Release</v>
      </c>
      <c r="D438" t="str">
        <v>F19.3.T3</v>
      </c>
      <c r="E438" t="str">
        <v>Validation &amp; QA</v>
      </c>
      <c r="F438" t="str">
        <v>MVP-P0</v>
      </c>
      <c r="G438" t="str">
        <v>PROPOSED</v>
      </c>
      <c r="H438" t="str">
        <v>QA Engineer</v>
      </c>
      <c r="I438" t="str">
        <v>DevOps</v>
      </c>
      <c r="J438">
        <v>3</v>
      </c>
      <c r="K438">
        <v>18</v>
      </c>
      <c r="L438">
        <v>2.6999999999999997</v>
      </c>
      <c r="M438">
        <v>20.7</v>
      </c>
      <c r="N438" t="str">
        <v>Not Started</v>
      </c>
    </row>
    <row r="439">
      <c r="A439" t="str">
        <v>582</v>
      </c>
      <c r="B439" t="str">
        <v>E19</v>
      </c>
      <c r="C439" t="str">
        <v>DevOps, Environments &amp; Release</v>
      </c>
      <c r="D439" t="str">
        <v>F19.4.T1</v>
      </c>
      <c r="E439" t="str">
        <v>Analysis &amp; Design</v>
      </c>
      <c r="F439" t="str">
        <v>MVP-P0</v>
      </c>
      <c r="G439" t="str">
        <v>PROPOSED</v>
      </c>
      <c r="H439" t="str">
        <v>DevOps Engineer</v>
      </c>
      <c r="I439" t="str">
        <v>DevOps</v>
      </c>
      <c r="J439">
        <v>3</v>
      </c>
      <c r="K439">
        <v>18</v>
      </c>
      <c r="L439">
        <v>2.6999999999999997</v>
      </c>
      <c r="M439">
        <v>20.7</v>
      </c>
      <c r="N439" t="str">
        <v>Not Started</v>
      </c>
    </row>
    <row r="440">
      <c r="A440" t="str">
        <v>583</v>
      </c>
      <c r="B440" t="str">
        <v>E19</v>
      </c>
      <c r="C440" t="str">
        <v>DevOps, Environments &amp; Release</v>
      </c>
      <c r="D440" t="str">
        <v>F19.4.T2</v>
      </c>
      <c r="E440" t="str">
        <v>Implementation</v>
      </c>
      <c r="F440" t="str">
        <v>MVP-P0</v>
      </c>
      <c r="G440" t="str">
        <v>PROPOSED</v>
      </c>
      <c r="H440" t="str">
        <v>DevOps Engineer</v>
      </c>
      <c r="I440" t="str">
        <v>DevOps</v>
      </c>
      <c r="J440">
        <v>4</v>
      </c>
      <c r="K440">
        <v>24</v>
      </c>
      <c r="L440">
        <v>3.5999999999999996</v>
      </c>
      <c r="M440">
        <v>27.6</v>
      </c>
      <c r="N440" t="str">
        <v>Not Started</v>
      </c>
    </row>
    <row r="441">
      <c r="A441" t="str">
        <v>584</v>
      </c>
      <c r="B441" t="str">
        <v>E19</v>
      </c>
      <c r="C441" t="str">
        <v>DevOps, Environments &amp; Release</v>
      </c>
      <c r="D441" t="str">
        <v>F19.4.T3</v>
      </c>
      <c r="E441" t="str">
        <v>Validation &amp; QA</v>
      </c>
      <c r="F441" t="str">
        <v>MVP-P0</v>
      </c>
      <c r="G441" t="str">
        <v>PROPOSED</v>
      </c>
      <c r="H441" t="str">
        <v>QA Engineer</v>
      </c>
      <c r="I441" t="str">
        <v>DevOps</v>
      </c>
      <c r="J441">
        <v>3</v>
      </c>
      <c r="K441">
        <v>18</v>
      </c>
      <c r="L441">
        <v>2.6999999999999997</v>
      </c>
      <c r="M441">
        <v>20.7</v>
      </c>
      <c r="N441" t="str">
        <v>Not Started</v>
      </c>
    </row>
    <row r="442">
      <c r="A442" t="str">
        <v>586</v>
      </c>
      <c r="B442" t="str">
        <v>E19</v>
      </c>
      <c r="C442" t="str">
        <v>DevOps, Environments &amp; Release</v>
      </c>
      <c r="D442" t="str">
        <v>F19.5.T1</v>
      </c>
      <c r="E442" t="str">
        <v>Analysis &amp; Design</v>
      </c>
      <c r="F442" t="str">
        <v>MVP-P0</v>
      </c>
      <c r="G442" t="str">
        <v>REQUIRED</v>
      </c>
      <c r="H442" t="str">
        <v>DevOps Engineer</v>
      </c>
      <c r="I442" t="str">
        <v>DevOps</v>
      </c>
      <c r="J442">
        <v>2</v>
      </c>
      <c r="K442">
        <v>12</v>
      </c>
      <c r="L442">
        <v>1.7999999999999998</v>
      </c>
      <c r="M442">
        <v>13.8</v>
      </c>
      <c r="N442" t="str">
        <v>Not Started</v>
      </c>
    </row>
    <row r="443">
      <c r="A443" t="str">
        <v>587</v>
      </c>
      <c r="B443" t="str">
        <v>E19</v>
      </c>
      <c r="C443" t="str">
        <v>DevOps, Environments &amp; Release</v>
      </c>
      <c r="D443" t="str">
        <v>F19.5.T2</v>
      </c>
      <c r="E443" t="str">
        <v>Implementation</v>
      </c>
      <c r="F443" t="str">
        <v>MVP-P0</v>
      </c>
      <c r="G443" t="str">
        <v>REQUIRED</v>
      </c>
      <c r="H443" t="str">
        <v>DevOps Engineer</v>
      </c>
      <c r="I443" t="str">
        <v>DevOps</v>
      </c>
      <c r="J443">
        <v>3</v>
      </c>
      <c r="K443">
        <v>18</v>
      </c>
      <c r="L443">
        <v>2.6999999999999997</v>
      </c>
      <c r="M443">
        <v>20.7</v>
      </c>
      <c r="N443" t="str">
        <v>Not Started</v>
      </c>
    </row>
    <row r="444">
      <c r="A444" t="str">
        <v>588</v>
      </c>
      <c r="B444" t="str">
        <v>E19</v>
      </c>
      <c r="C444" t="str">
        <v>DevOps, Environments &amp; Release</v>
      </c>
      <c r="D444" t="str">
        <v>F19.5.T3</v>
      </c>
      <c r="E444" t="str">
        <v>Validation &amp; QA</v>
      </c>
      <c r="F444" t="str">
        <v>MVP-P0</v>
      </c>
      <c r="G444" t="str">
        <v>REQUIRED</v>
      </c>
      <c r="H444" t="str">
        <v>QA Engineer</v>
      </c>
      <c r="I444" t="str">
        <v>DevOps</v>
      </c>
      <c r="J444">
        <v>2</v>
      </c>
      <c r="K444">
        <v>12</v>
      </c>
      <c r="L444">
        <v>1.7999999999999998</v>
      </c>
      <c r="M444">
        <v>13.8</v>
      </c>
      <c r="N444" t="str">
        <v>Not Started</v>
      </c>
    </row>
    <row r="445">
      <c r="A445" t="str">
        <v>590</v>
      </c>
      <c r="B445" t="str">
        <v>E19</v>
      </c>
      <c r="C445" t="str">
        <v>DevOps, Environments &amp; Release</v>
      </c>
      <c r="D445" t="str">
        <v>F19.6.T1</v>
      </c>
      <c r="E445" t="str">
        <v>Analysis &amp; Design</v>
      </c>
      <c r="F445" t="str">
        <v>MVP-P0</v>
      </c>
      <c r="G445" t="str">
        <v>REQUIRED</v>
      </c>
      <c r="H445" t="str">
        <v>DevOps Engineer</v>
      </c>
      <c r="I445" t="str">
        <v>DevOps</v>
      </c>
      <c r="J445">
        <v>3</v>
      </c>
      <c r="K445">
        <v>18</v>
      </c>
      <c r="L445">
        <v>2.6999999999999997</v>
      </c>
      <c r="M445">
        <v>20.7</v>
      </c>
      <c r="N445" t="str">
        <v>Not Started</v>
      </c>
    </row>
    <row r="446">
      <c r="A446" t="str">
        <v>591</v>
      </c>
      <c r="B446" t="str">
        <v>E19</v>
      </c>
      <c r="C446" t="str">
        <v>DevOps, Environments &amp; Release</v>
      </c>
      <c r="D446" t="str">
        <v>F19.6.T2</v>
      </c>
      <c r="E446" t="str">
        <v>Implementation</v>
      </c>
      <c r="F446" t="str">
        <v>MVP-P0</v>
      </c>
      <c r="G446" t="str">
        <v>REQUIRED</v>
      </c>
      <c r="H446" t="str">
        <v>DevOps Engineer</v>
      </c>
      <c r="I446" t="str">
        <v>DevOps</v>
      </c>
      <c r="J446">
        <v>4</v>
      </c>
      <c r="K446">
        <v>24</v>
      </c>
      <c r="L446">
        <v>3.5999999999999996</v>
      </c>
      <c r="M446">
        <v>27.6</v>
      </c>
      <c r="N446" t="str">
        <v>Not Started</v>
      </c>
    </row>
    <row r="447">
      <c r="A447" t="str">
        <v>592</v>
      </c>
      <c r="B447" t="str">
        <v>E19</v>
      </c>
      <c r="C447" t="str">
        <v>DevOps, Environments &amp; Release</v>
      </c>
      <c r="D447" t="str">
        <v>F19.6.T3</v>
      </c>
      <c r="E447" t="str">
        <v>Validation &amp; QA</v>
      </c>
      <c r="F447" t="str">
        <v>MVP-P0</v>
      </c>
      <c r="G447" t="str">
        <v>REQUIRED</v>
      </c>
      <c r="H447" t="str">
        <v>QA Engineer</v>
      </c>
      <c r="I447" t="str">
        <v>DevOps</v>
      </c>
      <c r="J447">
        <v>3</v>
      </c>
      <c r="K447">
        <v>18</v>
      </c>
      <c r="L447">
        <v>2.6999999999999997</v>
      </c>
      <c r="M447">
        <v>20.7</v>
      </c>
      <c r="N447" t="str">
        <v>Not Started</v>
      </c>
    </row>
    <row r="448">
      <c r="A448" t="str">
        <v>594</v>
      </c>
      <c r="B448" t="str">
        <v>E19</v>
      </c>
      <c r="C448" t="str">
        <v>DevOps, Environments &amp; Release</v>
      </c>
      <c r="D448" t="str">
        <v>F19.7.T1</v>
      </c>
      <c r="E448" t="str">
        <v>Analysis &amp; Design</v>
      </c>
      <c r="F448" t="str">
        <v>MVP-P0</v>
      </c>
      <c r="G448" t="str">
        <v>REQUIRED</v>
      </c>
      <c r="H448" t="str">
        <v>DevOps Engineer</v>
      </c>
      <c r="I448" t="str">
        <v>DevOps</v>
      </c>
      <c r="J448">
        <v>3</v>
      </c>
      <c r="K448">
        <v>18</v>
      </c>
      <c r="L448">
        <v>2.6999999999999997</v>
      </c>
      <c r="M448">
        <v>20.7</v>
      </c>
      <c r="N448" t="str">
        <v>Not Started</v>
      </c>
    </row>
    <row r="449">
      <c r="A449" t="str">
        <v>595</v>
      </c>
      <c r="B449" t="str">
        <v>E19</v>
      </c>
      <c r="C449" t="str">
        <v>DevOps, Environments &amp; Release</v>
      </c>
      <c r="D449" t="str">
        <v>F19.7.T2</v>
      </c>
      <c r="E449" t="str">
        <v>Implementation</v>
      </c>
      <c r="F449" t="str">
        <v>MVP-P0</v>
      </c>
      <c r="G449" t="str">
        <v>REQUIRED</v>
      </c>
      <c r="H449" t="str">
        <v>DevOps Engineer</v>
      </c>
      <c r="I449" t="str">
        <v>DevOps</v>
      </c>
      <c r="J449">
        <v>4</v>
      </c>
      <c r="K449">
        <v>24</v>
      </c>
      <c r="L449">
        <v>3.5999999999999996</v>
      </c>
      <c r="M449">
        <v>27.6</v>
      </c>
      <c r="N449" t="str">
        <v>Not Started</v>
      </c>
    </row>
    <row r="450">
      <c r="A450" t="str">
        <v>596</v>
      </c>
      <c r="B450" t="str">
        <v>E19</v>
      </c>
      <c r="C450" t="str">
        <v>DevOps, Environments &amp; Release</v>
      </c>
      <c r="D450" t="str">
        <v>F19.7.T3</v>
      </c>
      <c r="E450" t="str">
        <v>Validation &amp; QA</v>
      </c>
      <c r="F450" t="str">
        <v>MVP-P0</v>
      </c>
      <c r="G450" t="str">
        <v>REQUIRED</v>
      </c>
      <c r="H450" t="str">
        <v>QA Engineer</v>
      </c>
      <c r="I450" t="str">
        <v>DevOps</v>
      </c>
      <c r="J450">
        <v>3</v>
      </c>
      <c r="K450">
        <v>18</v>
      </c>
      <c r="L450">
        <v>2.6999999999999997</v>
      </c>
      <c r="M450">
        <v>20.7</v>
      </c>
      <c r="N450" t="str">
        <v>Not Started</v>
      </c>
    </row>
    <row r="451">
      <c r="A451" t="str">
        <v>598</v>
      </c>
      <c r="B451" t="str">
        <v>E19</v>
      </c>
      <c r="C451" t="str">
        <v>DevOps, Environments &amp; Release</v>
      </c>
      <c r="D451" t="str">
        <v>F19.8.T1</v>
      </c>
      <c r="E451" t="str">
        <v>Analysis &amp; Design</v>
      </c>
      <c r="F451" t="str">
        <v>MVP-P0</v>
      </c>
      <c r="G451" t="str">
        <v>REQUIRED</v>
      </c>
      <c r="H451" t="str">
        <v>Mobile/DevOps Engineer</v>
      </c>
      <c r="I451" t="str">
        <v>DevOps</v>
      </c>
      <c r="J451">
        <v>3</v>
      </c>
      <c r="K451">
        <v>18</v>
      </c>
      <c r="L451">
        <v>2.6999999999999997</v>
      </c>
      <c r="M451">
        <v>20.7</v>
      </c>
      <c r="N451" t="str">
        <v>Not Started</v>
      </c>
    </row>
    <row r="452">
      <c r="A452" t="str">
        <v>599</v>
      </c>
      <c r="B452" t="str">
        <v>E19</v>
      </c>
      <c r="C452" t="str">
        <v>DevOps, Environments &amp; Release</v>
      </c>
      <c r="D452" t="str">
        <v>F19.8.T2</v>
      </c>
      <c r="E452" t="str">
        <v>Implementation</v>
      </c>
      <c r="F452" t="str">
        <v>MVP-P0</v>
      </c>
      <c r="G452" t="str">
        <v>REQUIRED</v>
      </c>
      <c r="H452" t="str">
        <v>Mobile/DevOps Engineer</v>
      </c>
      <c r="I452" t="str">
        <v>DevOps</v>
      </c>
      <c r="J452">
        <v>4</v>
      </c>
      <c r="K452">
        <v>24</v>
      </c>
      <c r="L452">
        <v>3.5999999999999996</v>
      </c>
      <c r="M452">
        <v>27.6</v>
      </c>
      <c r="N452" t="str">
        <v>Not Started</v>
      </c>
    </row>
    <row r="453">
      <c r="A453" t="str">
        <v>600</v>
      </c>
      <c r="B453" t="str">
        <v>E19</v>
      </c>
      <c r="C453" t="str">
        <v>DevOps, Environments &amp; Release</v>
      </c>
      <c r="D453" t="str">
        <v>F19.8.T3</v>
      </c>
      <c r="E453" t="str">
        <v>Validation &amp; QA</v>
      </c>
      <c r="F453" t="str">
        <v>MVP-P0</v>
      </c>
      <c r="G453" t="str">
        <v>REQUIRED</v>
      </c>
      <c r="H453" t="str">
        <v>QA Engineer</v>
      </c>
      <c r="I453" t="str">
        <v>DevOps</v>
      </c>
      <c r="J453">
        <v>3</v>
      </c>
      <c r="K453">
        <v>18</v>
      </c>
      <c r="L453">
        <v>2.6999999999999997</v>
      </c>
      <c r="M453">
        <v>20.7</v>
      </c>
      <c r="N453" t="str">
        <v>Not Started</v>
      </c>
    </row>
    <row r="454">
      <c r="A454" t="str">
        <v>602</v>
      </c>
      <c r="B454" t="str">
        <v>E20</v>
      </c>
      <c r="C454" t="str">
        <v>Security, Privacy &amp; Accessibility</v>
      </c>
      <c r="D454" t="str">
        <v>F20.1.T1</v>
      </c>
      <c r="E454" t="str">
        <v>Analysis &amp; Design</v>
      </c>
      <c r="F454" t="str">
        <v>MVP-P0</v>
      </c>
      <c r="G454" t="str">
        <v>REQUIRED</v>
      </c>
      <c r="H454" t="str">
        <v>Backend Engineer</v>
      </c>
      <c r="I454" t="str">
        <v>Engineering/Product</v>
      </c>
      <c r="J454">
        <v>3</v>
      </c>
      <c r="K454">
        <v>18</v>
      </c>
      <c r="L454">
        <v>2.6999999999999997</v>
      </c>
      <c r="M454">
        <v>20.7</v>
      </c>
      <c r="N454" t="str">
        <v>Not Started</v>
      </c>
    </row>
    <row r="455">
      <c r="A455" t="str">
        <v>603</v>
      </c>
      <c r="B455" t="str">
        <v>E20</v>
      </c>
      <c r="C455" t="str">
        <v>Security, Privacy &amp; Accessibility</v>
      </c>
      <c r="D455" t="str">
        <v>F20.1.T2</v>
      </c>
      <c r="E455" t="str">
        <v>Implementation</v>
      </c>
      <c r="F455" t="str">
        <v>MVP-P0</v>
      </c>
      <c r="G455" t="str">
        <v>REQUIRED</v>
      </c>
      <c r="H455" t="str">
        <v>Backend Engineer</v>
      </c>
      <c r="I455" t="str">
        <v>Engineering/Product</v>
      </c>
      <c r="J455">
        <v>4</v>
      </c>
      <c r="K455">
        <v>24</v>
      </c>
      <c r="L455">
        <v>3.5999999999999996</v>
      </c>
      <c r="M455">
        <v>27.6</v>
      </c>
      <c r="N455" t="str">
        <v>Not Started</v>
      </c>
    </row>
    <row r="456">
      <c r="A456" t="str">
        <v>604</v>
      </c>
      <c r="B456" t="str">
        <v>E20</v>
      </c>
      <c r="C456" t="str">
        <v>Security, Privacy &amp; Accessibility</v>
      </c>
      <c r="D456" t="str">
        <v>F20.1.T3</v>
      </c>
      <c r="E456" t="str">
        <v>Validation &amp; QA</v>
      </c>
      <c r="F456" t="str">
        <v>MVP-P0</v>
      </c>
      <c r="G456" t="str">
        <v>REQUIRED</v>
      </c>
      <c r="H456" t="str">
        <v>QA Engineer</v>
      </c>
      <c r="I456" t="str">
        <v>Engineering/Product</v>
      </c>
      <c r="J456">
        <v>3</v>
      </c>
      <c r="K456">
        <v>18</v>
      </c>
      <c r="L456">
        <v>2.6999999999999997</v>
      </c>
      <c r="M456">
        <v>20.7</v>
      </c>
      <c r="N456" t="str">
        <v>Not Started</v>
      </c>
    </row>
    <row r="457">
      <c r="A457" t="str">
        <v>606</v>
      </c>
      <c r="B457" t="str">
        <v>E20</v>
      </c>
      <c r="C457" t="str">
        <v>Security, Privacy &amp; Accessibility</v>
      </c>
      <c r="D457" t="str">
        <v>F20.2.T1</v>
      </c>
      <c r="E457" t="str">
        <v>Analysis &amp; Design</v>
      </c>
      <c r="F457" t="str">
        <v>MVP-P0</v>
      </c>
      <c r="G457" t="str">
        <v>REQUIRED</v>
      </c>
      <c r="H457" t="str">
        <v>Backend Engineer</v>
      </c>
      <c r="I457" t="str">
        <v>Engineering/Product</v>
      </c>
      <c r="J457">
        <v>3</v>
      </c>
      <c r="K457">
        <v>18</v>
      </c>
      <c r="L457">
        <v>2.6999999999999997</v>
      </c>
      <c r="M457">
        <v>20.7</v>
      </c>
      <c r="N457" t="str">
        <v>Not Started</v>
      </c>
    </row>
    <row r="458">
      <c r="A458" t="str">
        <v>607</v>
      </c>
      <c r="B458" t="str">
        <v>E20</v>
      </c>
      <c r="C458" t="str">
        <v>Security, Privacy &amp; Accessibility</v>
      </c>
      <c r="D458" t="str">
        <v>F20.2.T2</v>
      </c>
      <c r="E458" t="str">
        <v>Implementation</v>
      </c>
      <c r="F458" t="str">
        <v>MVP-P0</v>
      </c>
      <c r="G458" t="str">
        <v>REQUIRED</v>
      </c>
      <c r="H458" t="str">
        <v>Backend Engineer</v>
      </c>
      <c r="I458" t="str">
        <v>Engineering/Product</v>
      </c>
      <c r="J458">
        <v>4</v>
      </c>
      <c r="K458">
        <v>24</v>
      </c>
      <c r="L458">
        <v>3.5999999999999996</v>
      </c>
      <c r="M458">
        <v>27.6</v>
      </c>
      <c r="N458" t="str">
        <v>Not Started</v>
      </c>
    </row>
    <row r="459">
      <c r="A459" t="str">
        <v>608</v>
      </c>
      <c r="B459" t="str">
        <v>E20</v>
      </c>
      <c r="C459" t="str">
        <v>Security, Privacy &amp; Accessibility</v>
      </c>
      <c r="D459" t="str">
        <v>F20.2.T3</v>
      </c>
      <c r="E459" t="str">
        <v>Validation &amp; QA</v>
      </c>
      <c r="F459" t="str">
        <v>MVP-P0</v>
      </c>
      <c r="G459" t="str">
        <v>REQUIRED</v>
      </c>
      <c r="H459" t="str">
        <v>QA Engineer</v>
      </c>
      <c r="I459" t="str">
        <v>Engineering/Product</v>
      </c>
      <c r="J459">
        <v>3</v>
      </c>
      <c r="K459">
        <v>18</v>
      </c>
      <c r="L459">
        <v>2.6999999999999997</v>
      </c>
      <c r="M459">
        <v>20.7</v>
      </c>
      <c r="N459" t="str">
        <v>Not Started</v>
      </c>
    </row>
    <row r="460">
      <c r="A460" t="str">
        <v>610</v>
      </c>
      <c r="B460" t="str">
        <v>E20</v>
      </c>
      <c r="C460" t="str">
        <v>Security, Privacy &amp; Accessibility</v>
      </c>
      <c r="D460" t="str">
        <v>F20.3.T1</v>
      </c>
      <c r="E460" t="str">
        <v>Analysis &amp; Design</v>
      </c>
      <c r="F460" t="str">
        <v>MVP-P0</v>
      </c>
      <c r="G460" t="str">
        <v>REQUIRED</v>
      </c>
      <c r="H460" t="str">
        <v>Product/Backend</v>
      </c>
      <c r="I460" t="str">
        <v>Engineering/Product</v>
      </c>
      <c r="J460">
        <v>2</v>
      </c>
      <c r="K460">
        <v>12</v>
      </c>
      <c r="L460">
        <v>1.7999999999999998</v>
      </c>
      <c r="M460">
        <v>13.8</v>
      </c>
      <c r="N460" t="str">
        <v>Not Started</v>
      </c>
    </row>
    <row r="461">
      <c r="A461" t="str">
        <v>611</v>
      </c>
      <c r="B461" t="str">
        <v>E20</v>
      </c>
      <c r="C461" t="str">
        <v>Security, Privacy &amp; Accessibility</v>
      </c>
      <c r="D461" t="str">
        <v>F20.3.T2</v>
      </c>
      <c r="E461" t="str">
        <v>Implementation</v>
      </c>
      <c r="F461" t="str">
        <v>MVP-P0</v>
      </c>
      <c r="G461" t="str">
        <v>REQUIRED</v>
      </c>
      <c r="H461" t="str">
        <v>Product/Backend</v>
      </c>
      <c r="I461" t="str">
        <v>Engineering/Product</v>
      </c>
      <c r="J461">
        <v>3</v>
      </c>
      <c r="K461">
        <v>18</v>
      </c>
      <c r="L461">
        <v>2.6999999999999997</v>
      </c>
      <c r="M461">
        <v>20.7</v>
      </c>
      <c r="N461" t="str">
        <v>Not Started</v>
      </c>
    </row>
    <row r="462">
      <c r="A462" t="str">
        <v>612</v>
      </c>
      <c r="B462" t="str">
        <v>E20</v>
      </c>
      <c r="C462" t="str">
        <v>Security, Privacy &amp; Accessibility</v>
      </c>
      <c r="D462" t="str">
        <v>F20.3.T3</v>
      </c>
      <c r="E462" t="str">
        <v>Validation &amp; QA</v>
      </c>
      <c r="F462" t="str">
        <v>MVP-P0</v>
      </c>
      <c r="G462" t="str">
        <v>REQUIRED</v>
      </c>
      <c r="H462" t="str">
        <v>QA Engineer</v>
      </c>
      <c r="I462" t="str">
        <v>Engineering/Product</v>
      </c>
      <c r="J462">
        <v>2</v>
      </c>
      <c r="K462">
        <v>12</v>
      </c>
      <c r="L462">
        <v>1.7999999999999998</v>
      </c>
      <c r="M462">
        <v>13.8</v>
      </c>
      <c r="N462" t="str">
        <v>Not Started</v>
      </c>
    </row>
    <row r="463">
      <c r="A463" t="str">
        <v>614</v>
      </c>
      <c r="B463" t="str">
        <v>E20</v>
      </c>
      <c r="C463" t="str">
        <v>Security, Privacy &amp; Accessibility</v>
      </c>
      <c r="D463" t="str">
        <v>F20.4.T1</v>
      </c>
      <c r="E463" t="str">
        <v>Analysis &amp; Design</v>
      </c>
      <c r="F463" t="str">
        <v>MVP-P0</v>
      </c>
      <c r="G463" t="str">
        <v>TBD PROVIDERS</v>
      </c>
      <c r="H463" t="str">
        <v>Product/Mobile Engineer</v>
      </c>
      <c r="I463" t="str">
        <v>Engineering/Product</v>
      </c>
      <c r="J463">
        <v>3</v>
      </c>
      <c r="K463">
        <v>18</v>
      </c>
      <c r="L463">
        <v>2.6999999999999997</v>
      </c>
      <c r="M463">
        <v>20.7</v>
      </c>
      <c r="N463" t="str">
        <v>Not Started</v>
      </c>
    </row>
    <row r="464">
      <c r="A464" t="str">
        <v>615</v>
      </c>
      <c r="B464" t="str">
        <v>E20</v>
      </c>
      <c r="C464" t="str">
        <v>Security, Privacy &amp; Accessibility</v>
      </c>
      <c r="D464" t="str">
        <v>F20.4.T2</v>
      </c>
      <c r="E464" t="str">
        <v>Implementation</v>
      </c>
      <c r="F464" t="str">
        <v>MVP-P0</v>
      </c>
      <c r="G464" t="str">
        <v>TBD PROVIDERS</v>
      </c>
      <c r="H464" t="str">
        <v>Product/Mobile Engineer</v>
      </c>
      <c r="I464" t="str">
        <v>Engineering/Product</v>
      </c>
      <c r="J464">
        <v>4</v>
      </c>
      <c r="K464">
        <v>24</v>
      </c>
      <c r="L464">
        <v>3.5999999999999996</v>
      </c>
      <c r="M464">
        <v>27.6</v>
      </c>
      <c r="N464" t="str">
        <v>Not Started</v>
      </c>
    </row>
    <row r="465">
      <c r="A465" t="str">
        <v>616</v>
      </c>
      <c r="B465" t="str">
        <v>E20</v>
      </c>
      <c r="C465" t="str">
        <v>Security, Privacy &amp; Accessibility</v>
      </c>
      <c r="D465" t="str">
        <v>F20.4.T3</v>
      </c>
      <c r="E465" t="str">
        <v>Validation &amp; QA</v>
      </c>
      <c r="F465" t="str">
        <v>MVP-P0</v>
      </c>
      <c r="G465" t="str">
        <v>TBD PROVIDERS</v>
      </c>
      <c r="H465" t="str">
        <v>QA Engineer</v>
      </c>
      <c r="I465" t="str">
        <v>Engineering/Product</v>
      </c>
      <c r="J465">
        <v>3</v>
      </c>
      <c r="K465">
        <v>18</v>
      </c>
      <c r="L465">
        <v>2.6999999999999997</v>
      </c>
      <c r="M465">
        <v>20.7</v>
      </c>
      <c r="N465" t="str">
        <v>Not Started</v>
      </c>
    </row>
    <row r="466">
      <c r="A466" t="str">
        <v>618</v>
      </c>
      <c r="B466" t="str">
        <v>E20</v>
      </c>
      <c r="C466" t="str">
        <v>Security, Privacy &amp; Accessibility</v>
      </c>
      <c r="D466" t="str">
        <v>F20.5.T1</v>
      </c>
      <c r="E466" t="str">
        <v>Analysis &amp; Design</v>
      </c>
      <c r="F466" t="str">
        <v>MVP-P0</v>
      </c>
      <c r="G466" t="str">
        <v>REQUIRED</v>
      </c>
      <c r="H466" t="str">
        <v>Mobile/UI Engineer</v>
      </c>
      <c r="I466" t="str">
        <v>Engineering/Product</v>
      </c>
      <c r="J466">
        <v>3</v>
      </c>
      <c r="K466">
        <v>18</v>
      </c>
      <c r="L466">
        <v>2.6999999999999997</v>
      </c>
      <c r="M466">
        <v>20.7</v>
      </c>
      <c r="N466" t="str">
        <v>Not Started</v>
      </c>
    </row>
    <row r="467">
      <c r="A467" t="str">
        <v>619</v>
      </c>
      <c r="B467" t="str">
        <v>E20</v>
      </c>
      <c r="C467" t="str">
        <v>Security, Privacy &amp; Accessibility</v>
      </c>
      <c r="D467" t="str">
        <v>F20.5.T2</v>
      </c>
      <c r="E467" t="str">
        <v>Implementation</v>
      </c>
      <c r="F467" t="str">
        <v>MVP-P0</v>
      </c>
      <c r="G467" t="str">
        <v>REQUIRED</v>
      </c>
      <c r="H467" t="str">
        <v>Mobile/UI Engineer</v>
      </c>
      <c r="I467" t="str">
        <v>Engineering/Product</v>
      </c>
      <c r="J467">
        <v>4</v>
      </c>
      <c r="K467">
        <v>24</v>
      </c>
      <c r="L467">
        <v>3.5999999999999996</v>
      </c>
      <c r="M467">
        <v>27.6</v>
      </c>
      <c r="N467" t="str">
        <v>Not Started</v>
      </c>
    </row>
    <row r="468">
      <c r="A468" t="str">
        <v>620</v>
      </c>
      <c r="B468" t="str">
        <v>E20</v>
      </c>
      <c r="C468" t="str">
        <v>Security, Privacy &amp; Accessibility</v>
      </c>
      <c r="D468" t="str">
        <v>F20.5.T3</v>
      </c>
      <c r="E468" t="str">
        <v>Validation &amp; QA</v>
      </c>
      <c r="F468" t="str">
        <v>MVP-P0</v>
      </c>
      <c r="G468" t="str">
        <v>REQUIRED</v>
      </c>
      <c r="H468" t="str">
        <v>QA Engineer</v>
      </c>
      <c r="I468" t="str">
        <v>Engineering/Product</v>
      </c>
      <c r="J468">
        <v>3</v>
      </c>
      <c r="K468">
        <v>18</v>
      </c>
      <c r="L468">
        <v>2.6999999999999997</v>
      </c>
      <c r="M468">
        <v>20.7</v>
      </c>
      <c r="N468" t="str">
        <v>Not Started</v>
      </c>
    </row>
    <row r="469">
      <c r="A469" t="str">
        <v>622</v>
      </c>
      <c r="B469" t="str">
        <v>E20</v>
      </c>
      <c r="C469" t="str">
        <v>Security, Privacy &amp; Accessibility</v>
      </c>
      <c r="D469" t="str">
        <v>F20.6.T1</v>
      </c>
      <c r="E469" t="str">
        <v>Analysis &amp; Design</v>
      </c>
      <c r="F469" t="str">
        <v>MVP-P0</v>
      </c>
      <c r="G469" t="str">
        <v>REQUIRED</v>
      </c>
      <c r="H469" t="str">
        <v>QA/Security</v>
      </c>
      <c r="I469" t="str">
        <v>Engineering/Product</v>
      </c>
      <c r="J469">
        <v>3</v>
      </c>
      <c r="K469">
        <v>18</v>
      </c>
      <c r="L469">
        <v>2.6999999999999997</v>
      </c>
      <c r="M469">
        <v>20.7</v>
      </c>
      <c r="N469" t="str">
        <v>Not Started</v>
      </c>
    </row>
    <row r="470">
      <c r="A470" t="str">
        <v>623</v>
      </c>
      <c r="B470" t="str">
        <v>E20</v>
      </c>
      <c r="C470" t="str">
        <v>Security, Privacy &amp; Accessibility</v>
      </c>
      <c r="D470" t="str">
        <v>F20.6.T2</v>
      </c>
      <c r="E470" t="str">
        <v>Implementation</v>
      </c>
      <c r="F470" t="str">
        <v>MVP-P0</v>
      </c>
      <c r="G470" t="str">
        <v>REQUIRED</v>
      </c>
      <c r="H470" t="str">
        <v>QA/Security</v>
      </c>
      <c r="I470" t="str">
        <v>Engineering/Product</v>
      </c>
      <c r="J470">
        <v>4</v>
      </c>
      <c r="K470">
        <v>24</v>
      </c>
      <c r="L470">
        <v>3.5999999999999996</v>
      </c>
      <c r="M470">
        <v>27.6</v>
      </c>
      <c r="N470" t="str">
        <v>Not Started</v>
      </c>
    </row>
    <row r="471">
      <c r="A471" t="str">
        <v>624</v>
      </c>
      <c r="B471" t="str">
        <v>E20</v>
      </c>
      <c r="C471" t="str">
        <v>Security, Privacy &amp; Accessibility</v>
      </c>
      <c r="D471" t="str">
        <v>F20.6.T3</v>
      </c>
      <c r="E471" t="str">
        <v>Validation &amp; QA</v>
      </c>
      <c r="F471" t="str">
        <v>MVP-P0</v>
      </c>
      <c r="G471" t="str">
        <v>REQUIRED</v>
      </c>
      <c r="H471" t="str">
        <v>QA Engineer</v>
      </c>
      <c r="I471" t="str">
        <v>Engineering/Product</v>
      </c>
      <c r="J471">
        <v>3</v>
      </c>
      <c r="K471">
        <v>18</v>
      </c>
      <c r="L471">
        <v>2.6999999999999997</v>
      </c>
      <c r="M471">
        <v>20.7</v>
      </c>
      <c r="N471" t="str">
        <v>Not Started</v>
      </c>
    </row>
  </sheetData>
  <ignoredErrors>
    <ignoredError numberStoredAsText="1" sqref="A1:N4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Epic Estimation Summary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Formula-driven summary of task-only effort. Planned Hours include the editable contingency from Assumptions.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Epic ID</v>
      </c>
      <c r="B3" t="str">
        <v>Epic</v>
      </c>
      <c r="C3" t="str">
        <v>Phase</v>
      </c>
      <c r="D3" t="str">
        <v>Workstream</v>
      </c>
      <c r="E3" t="str">
        <v>Task Count</v>
      </c>
      <c r="F3" t="str">
        <v>Story Points</v>
      </c>
      <c r="G3" t="str">
        <v>Base Hours</v>
      </c>
      <c r="H3" t="str">
        <v>Contingency Hours</v>
      </c>
      <c r="I3" t="str">
        <v>Planned Hours</v>
      </c>
      <c r="J3" t="str">
        <v>% of P0/P1</v>
      </c>
      <c r="K3" t="str">
        <v>Dependencies</v>
      </c>
      <c r="L3" t="str">
        <v>Primary Delivery Window</v>
      </c>
      <c r="M3" t="str">
        <v>Status</v>
      </c>
      <c r="N3" t="str">
        <v>Notes</v>
      </c>
    </row>
    <row r="4">
      <c r="A4" t="str">
        <v>E01</v>
      </c>
      <c r="B4" t="str">
        <v>Product &amp; UX Foundation</v>
      </c>
      <c r="C4" t="str">
        <v>MVP-P0</v>
      </c>
      <c r="D4" t="str">
        <v>Product/UX</v>
      </c>
      <c r="E4">
        <v>15</v>
      </c>
      <c r="F4">
        <v>44</v>
      </c>
      <c r="G4">
        <v>264</v>
      </c>
      <c r="H4">
        <v>39.6</v>
      </c>
      <c r="I4">
        <v>303.59999999999997</v>
      </c>
      <c r="J4">
        <v>0.026050917702782703</v>
      </c>
      <c r="K4" t="str">
        <v>See Dependencies sheet</v>
      </c>
      <c r="L4" t="str">
        <v/>
      </c>
      <c r="M4" t="str">
        <v>Not Started</v>
      </c>
      <c r="N4" t="str">
        <v>CONFIRMED/PROPOSED</v>
      </c>
    </row>
    <row r="5">
      <c r="A5" t="str">
        <v>E02</v>
      </c>
      <c r="B5" t="str">
        <v>Arabic Content System</v>
      </c>
      <c r="C5" t="str">
        <v>MVP-P0</v>
      </c>
      <c r="D5" t="str">
        <v>Content</v>
      </c>
      <c r="E5">
        <v>24</v>
      </c>
      <c r="F5">
        <v>81</v>
      </c>
      <c r="G5">
        <v>486</v>
      </c>
      <c r="H5">
        <v>72.9</v>
      </c>
      <c r="I5">
        <v>558.9</v>
      </c>
      <c r="J5">
        <v>0.04795737122557726</v>
      </c>
      <c r="K5" t="str">
        <v>See Dependencies sheet</v>
      </c>
      <c r="L5" t="str">
        <v/>
      </c>
      <c r="M5" t="str">
        <v>Not Started</v>
      </c>
      <c r="N5" t="str">
        <v>CONFIRMED</v>
      </c>
    </row>
    <row r="6">
      <c r="A6" t="str">
        <v>E03</v>
      </c>
      <c r="B6" t="str">
        <v>Game Engine</v>
      </c>
      <c r="C6" t="str">
        <v>MVP-P0</v>
      </c>
      <c r="D6" t="str">
        <v>Engineering</v>
      </c>
      <c r="E6">
        <v>36</v>
      </c>
      <c r="F6">
        <v>148</v>
      </c>
      <c r="G6">
        <v>888</v>
      </c>
      <c r="H6">
        <v>133.2</v>
      </c>
      <c r="I6">
        <v>1021.2000000000007</v>
      </c>
      <c r="J6">
        <v>0.08762581409117826</v>
      </c>
      <c r="K6" t="str">
        <v>See Dependencies sheet</v>
      </c>
      <c r="L6" t="str">
        <v/>
      </c>
      <c r="M6" t="str">
        <v>Not Started</v>
      </c>
      <c r="N6" t="str">
        <v>CONFIRMED</v>
      </c>
    </row>
    <row r="7">
      <c r="A7" t="str">
        <v>E04</v>
      </c>
      <c r="B7" t="str">
        <v>Solver</v>
      </c>
      <c r="C7" t="str">
        <v>MVP-P0</v>
      </c>
      <c r="D7" t="str">
        <v>Engineering</v>
      </c>
      <c r="E7">
        <v>30</v>
      </c>
      <c r="F7">
        <v>142</v>
      </c>
      <c r="G7">
        <v>852</v>
      </c>
      <c r="H7">
        <v>127.79999999999998</v>
      </c>
      <c r="I7">
        <v>979.8000000000003</v>
      </c>
      <c r="J7">
        <v>0.08407341622261694</v>
      </c>
      <c r="K7" t="str">
        <v>See Dependencies sheet</v>
      </c>
      <c r="L7" t="str">
        <v/>
      </c>
      <c r="M7" t="str">
        <v>Not Started</v>
      </c>
      <c r="N7" t="str">
        <v>CONFIRMED</v>
      </c>
    </row>
    <row r="8">
      <c r="A8" t="str">
        <v>E05</v>
      </c>
      <c r="B8" t="str">
        <v>Level Generator &amp; Difficulty</v>
      </c>
      <c r="C8" t="str">
        <v>MVP-P0</v>
      </c>
      <c r="D8" t="str">
        <v>Game Design/Engineering</v>
      </c>
      <c r="E8">
        <v>30</v>
      </c>
      <c r="F8">
        <v>125</v>
      </c>
      <c r="G8">
        <v>750</v>
      </c>
      <c r="H8">
        <v>112.5</v>
      </c>
      <c r="I8">
        <v>862.5000000000001</v>
      </c>
      <c r="J8">
        <v>0.07400828892835998</v>
      </c>
      <c r="K8" t="str">
        <v>See Dependencies sheet</v>
      </c>
      <c r="L8" t="str">
        <v/>
      </c>
      <c r="M8" t="str">
        <v>Not Started</v>
      </c>
      <c r="N8" t="str">
        <v>CONFIRMED</v>
      </c>
    </row>
    <row r="9">
      <c r="A9" t="str">
        <v>E06</v>
      </c>
      <c r="B9" t="str">
        <v>Tutorial &amp; Onboarding</v>
      </c>
      <c r="C9" t="str">
        <v>MVP-P0</v>
      </c>
      <c r="D9" t="str">
        <v>Product/UX</v>
      </c>
      <c r="E9">
        <v>21</v>
      </c>
      <c r="F9">
        <v>64</v>
      </c>
      <c r="G9">
        <v>384</v>
      </c>
      <c r="H9">
        <v>57.600000000000016</v>
      </c>
      <c r="I9">
        <v>441.59999999999997</v>
      </c>
      <c r="J9">
        <v>0.0378922439313203</v>
      </c>
      <c r="K9" t="str">
        <v>See Dependencies sheet</v>
      </c>
      <c r="L9" t="str">
        <v/>
      </c>
      <c r="M9" t="str">
        <v>Not Started</v>
      </c>
      <c r="N9" t="str">
        <v>CONFIRMED</v>
      </c>
    </row>
    <row r="10">
      <c r="A10" t="str">
        <v>E07</v>
      </c>
      <c r="B10" t="str">
        <v>Main Journey &amp; Chapters</v>
      </c>
      <c r="C10" t="str">
        <v>MVP-P0</v>
      </c>
      <c r="D10" t="str">
        <v>Product/Game Design</v>
      </c>
      <c r="E10">
        <v>21</v>
      </c>
      <c r="F10">
        <v>74</v>
      </c>
      <c r="G10">
        <v>444</v>
      </c>
      <c r="H10">
        <v>66.60000000000001</v>
      </c>
      <c r="I10">
        <v>510.59999999999997</v>
      </c>
      <c r="J10">
        <v>0.04381290704558909</v>
      </c>
      <c r="K10" t="str">
        <v>See Dependencies sheet</v>
      </c>
      <c r="L10" t="str">
        <v/>
      </c>
      <c r="M10" t="str">
        <v>Not Started</v>
      </c>
      <c r="N10" t="str">
        <v>CONFIRMED</v>
      </c>
    </row>
    <row r="11">
      <c r="A11" t="str">
        <v>E08</v>
      </c>
      <c r="B11" t="str">
        <v>Economy &amp; Rewards</v>
      </c>
      <c r="C11" t="str">
        <v>MVP-P0</v>
      </c>
      <c r="D11" t="str">
        <v>Product/Backend</v>
      </c>
      <c r="E11">
        <v>18</v>
      </c>
      <c r="F11">
        <v>51</v>
      </c>
      <c r="G11">
        <v>306</v>
      </c>
      <c r="H11">
        <v>45.9</v>
      </c>
      <c r="I11">
        <v>351.9</v>
      </c>
      <c r="J11">
        <v>0.030195381882770864</v>
      </c>
      <c r="K11" t="str">
        <v>See Dependencies sheet</v>
      </c>
      <c r="L11" t="str">
        <v/>
      </c>
      <c r="M11" t="str">
        <v>Not Started</v>
      </c>
      <c r="N11" t="str">
        <v>CONFIRMED</v>
      </c>
    </row>
    <row r="12">
      <c r="A12" t="str">
        <v>E09</v>
      </c>
      <c r="B12" t="str">
        <v>Gameplay Assistance &amp; Recovery</v>
      </c>
      <c r="C12" t="str">
        <v>MVP-P0</v>
      </c>
      <c r="D12" t="str">
        <v>Engineering/Product</v>
      </c>
      <c r="E12">
        <v>21</v>
      </c>
      <c r="F12">
        <v>58</v>
      </c>
      <c r="G12">
        <v>348</v>
      </c>
      <c r="H12">
        <v>52.2</v>
      </c>
      <c r="I12">
        <v>400.20000000000005</v>
      </c>
      <c r="J12">
        <v>0.03433984606275903</v>
      </c>
      <c r="K12" t="str">
        <v>See Dependencies sheet</v>
      </c>
      <c r="L12" t="str">
        <v/>
      </c>
      <c r="M12" t="str">
        <v>Not Started</v>
      </c>
      <c r="N12" t="str">
        <v>CONFIRMED</v>
      </c>
    </row>
    <row r="13">
      <c r="A13" t="str">
        <v>E10</v>
      </c>
      <c r="B13" t="str">
        <v>Monetization</v>
      </c>
      <c r="C13" t="str">
        <v>MVP-P0</v>
      </c>
      <c r="D13" t="str">
        <v>Product/Backend</v>
      </c>
      <c r="E13">
        <v>33</v>
      </c>
      <c r="F13">
        <v>99</v>
      </c>
      <c r="G13">
        <v>594</v>
      </c>
      <c r="H13">
        <v>89.10000000000001</v>
      </c>
      <c r="I13">
        <v>683.1</v>
      </c>
      <c r="J13">
        <v>0.058614564831261096</v>
      </c>
      <c r="K13" t="str">
        <v>See Dependencies sheet</v>
      </c>
      <c r="L13" t="str">
        <v/>
      </c>
      <c r="M13" t="str">
        <v>Not Started</v>
      </c>
      <c r="N13" t="str">
        <v>CONFIRMED</v>
      </c>
    </row>
    <row r="14">
      <c r="A14" t="str">
        <v>E11</v>
      </c>
      <c r="B14" t="str">
        <v>Identity, Account &amp; Cloud Save</v>
      </c>
      <c r="C14" t="str">
        <v>MVP-P0</v>
      </c>
      <c r="D14" t="str">
        <v>Backend</v>
      </c>
      <c r="E14">
        <v>24</v>
      </c>
      <c r="F14">
        <v>80</v>
      </c>
      <c r="G14">
        <v>480</v>
      </c>
      <c r="H14">
        <v>72.00000000000001</v>
      </c>
      <c r="I14">
        <v>552</v>
      </c>
      <c r="J14">
        <v>0.04736530491415038</v>
      </c>
      <c r="K14" t="str">
        <v>See Dependencies sheet</v>
      </c>
      <c r="L14" t="str">
        <v/>
      </c>
      <c r="M14" t="str">
        <v>Not Started</v>
      </c>
      <c r="N14" t="str">
        <v>CONFIRMED</v>
      </c>
    </row>
    <row r="15">
      <c r="A15" t="str">
        <v>E12</v>
      </c>
      <c r="B15" t="str">
        <v>Backend Platform (Firebase)</v>
      </c>
      <c r="C15" t="str">
        <v>MVP-P0</v>
      </c>
      <c r="D15" t="str">
        <v>Backend/Cloud</v>
      </c>
      <c r="E15">
        <v>27</v>
      </c>
      <c r="F15">
        <v>105</v>
      </c>
      <c r="G15">
        <v>630</v>
      </c>
      <c r="H15">
        <v>94.5</v>
      </c>
      <c r="I15">
        <v>724.5000000000001</v>
      </c>
      <c r="J15">
        <v>0.06216696269982238</v>
      </c>
      <c r="K15" t="str">
        <v>See Dependencies sheet</v>
      </c>
      <c r="L15" t="str">
        <v/>
      </c>
      <c r="M15" t="str">
        <v>Not Started</v>
      </c>
      <c r="N15" t="str">
        <v>CONFIRMED Firebase-first; Azure/ASP.NET/PG out of MVP (scope reduction/reallocation)</v>
      </c>
    </row>
    <row r="16">
      <c r="A16" t="str">
        <v>E13</v>
      </c>
      <c r="B16" t="str">
        <v>Admin / CMS</v>
      </c>
      <c r="C16" t="str">
        <v>MVP-P0</v>
      </c>
      <c r="D16" t="str">
        <v>Admin/Content</v>
      </c>
      <c r="E16">
        <v>30</v>
      </c>
      <c r="F16">
        <v>135</v>
      </c>
      <c r="G16">
        <v>810</v>
      </c>
      <c r="H16">
        <v>121.49999999999999</v>
      </c>
      <c r="I16">
        <v>931.5000000000002</v>
      </c>
      <c r="J16">
        <v>0.07992895204262877</v>
      </c>
      <c r="K16" t="str">
        <v>See Dependencies sheet</v>
      </c>
      <c r="L16" t="str">
        <v/>
      </c>
      <c r="M16" t="str">
        <v>Not Started</v>
      </c>
      <c r="N16" t="str">
        <v>CONFIRMED</v>
      </c>
    </row>
    <row r="17">
      <c r="A17" t="str">
        <v>E14</v>
      </c>
      <c r="B17" t="str">
        <v>Analytics &amp; Observability</v>
      </c>
      <c r="C17" t="str">
        <v>MVP-P0</v>
      </c>
      <c r="D17" t="str">
        <v>Analytics/Engineering</v>
      </c>
      <c r="E17">
        <v>24</v>
      </c>
      <c r="F17">
        <v>71</v>
      </c>
      <c r="G17">
        <v>426</v>
      </c>
      <c r="H17">
        <v>63.90000000000002</v>
      </c>
      <c r="I17">
        <v>489.9</v>
      </c>
      <c r="J17">
        <v>0.042036708111308455</v>
      </c>
      <c r="K17" t="str">
        <v>See Dependencies sheet</v>
      </c>
      <c r="L17" t="str">
        <v/>
      </c>
      <c r="M17" t="str">
        <v>Not Started</v>
      </c>
      <c r="N17" t="str">
        <v>CONFIRMED</v>
      </c>
    </row>
    <row r="18">
      <c r="A18" t="str">
        <v>E15</v>
      </c>
      <c r="B18" t="str">
        <v>Daily Reward</v>
      </c>
      <c r="C18" t="str">
        <v>MVP-P0</v>
      </c>
      <c r="D18" t="str">
        <v>Product/Backend</v>
      </c>
      <c r="E18">
        <v>12</v>
      </c>
      <c r="F18">
        <v>34</v>
      </c>
      <c r="G18">
        <v>204</v>
      </c>
      <c r="H18">
        <v>30.6</v>
      </c>
      <c r="I18">
        <v>234.6</v>
      </c>
      <c r="J18">
        <v>0.020130254588513908</v>
      </c>
      <c r="K18" t="str">
        <v>See Dependencies sheet</v>
      </c>
      <c r="L18" t="str">
        <v/>
      </c>
      <c r="M18" t="str">
        <v>Not Started</v>
      </c>
      <c r="N18" t="str">
        <v>CONFIRMED launch P0 (Decision Align v1.1)</v>
      </c>
    </row>
    <row r="19">
      <c r="A19" t="str">
        <v>E16</v>
      </c>
      <c r="B19" t="str">
        <v>Daily Challenge</v>
      </c>
      <c r="C19" t="str">
        <v>MVP-P0</v>
      </c>
      <c r="D19" t="str">
        <v>Product/Game Design</v>
      </c>
      <c r="E19">
        <v>15</v>
      </c>
      <c r="F19">
        <v>61</v>
      </c>
      <c r="G19">
        <v>366</v>
      </c>
      <c r="H19">
        <v>54.9</v>
      </c>
      <c r="I19">
        <v>420.90000000000003</v>
      </c>
      <c r="J19">
        <v>0.036116044997039666</v>
      </c>
      <c r="K19" t="str">
        <v>See Dependencies sheet</v>
      </c>
      <c r="L19" t="str">
        <v/>
      </c>
      <c r="M19" t="str">
        <v>Not Started</v>
      </c>
      <c r="N19" t="str">
        <v>CONFIRMED launch P0 (Decision Align v1.1)</v>
      </c>
    </row>
    <row r="20">
      <c r="A20" t="str">
        <v>E17</v>
      </c>
      <c r="B20" t="str">
        <v>Daily Streak &amp; Smart Notifications</v>
      </c>
      <c r="C20" t="str">
        <v>MVP-P0</v>
      </c>
      <c r="D20" t="str">
        <v>Product/Backend</v>
      </c>
      <c r="E20">
        <v>15</v>
      </c>
      <c r="F20">
        <v>44</v>
      </c>
      <c r="G20">
        <v>264</v>
      </c>
      <c r="H20">
        <v>39.599999999999994</v>
      </c>
      <c r="I20">
        <v>303.59999999999997</v>
      </c>
      <c r="J20">
        <v>0.026050917702782703</v>
      </c>
      <c r="K20" t="str">
        <v>See Dependencies sheet</v>
      </c>
      <c r="L20" t="str">
        <v/>
      </c>
      <c r="M20" t="str">
        <v>Not Started</v>
      </c>
      <c r="N20" t="str">
        <v>CONFIRMED launch P0 (Decision Align v1.1)</v>
      </c>
    </row>
    <row r="21">
      <c r="A21" t="str">
        <v>E18</v>
      </c>
      <c r="B21" t="str">
        <v>QA &amp; Automated Validation</v>
      </c>
      <c r="C21" t="str">
        <v>MVP-P0</v>
      </c>
      <c r="D21" t="str">
        <v>QA</v>
      </c>
      <c r="E21">
        <v>30</v>
      </c>
      <c r="F21">
        <v>142</v>
      </c>
      <c r="G21">
        <v>852</v>
      </c>
      <c r="H21">
        <v>127.79999999999998</v>
      </c>
      <c r="I21">
        <v>979.8000000000004</v>
      </c>
      <c r="J21">
        <v>0.08407341622261695</v>
      </c>
      <c r="K21" t="str">
        <v>See Dependencies sheet</v>
      </c>
      <c r="L21" t="str">
        <v/>
      </c>
      <c r="M21" t="str">
        <v>Not Started</v>
      </c>
      <c r="N21" t="str">
        <v>CONFIRMED</v>
      </c>
    </row>
    <row r="22">
      <c r="A22" t="str">
        <v>E19</v>
      </c>
      <c r="B22" t="str">
        <v>DevOps, Environments &amp; Release</v>
      </c>
      <c r="C22" t="str">
        <v>MVP-P0</v>
      </c>
      <c r="D22" t="str">
        <v>DevOps</v>
      </c>
      <c r="E22">
        <v>24</v>
      </c>
      <c r="F22">
        <v>74</v>
      </c>
      <c r="G22">
        <v>444</v>
      </c>
      <c r="H22">
        <v>66.60000000000002</v>
      </c>
      <c r="I22">
        <v>510.59999999999997</v>
      </c>
      <c r="J22">
        <v>0.04381290704558909</v>
      </c>
      <c r="K22" t="str">
        <v>See Dependencies sheet</v>
      </c>
      <c r="L22" t="str">
        <v/>
      </c>
      <c r="M22" t="str">
        <v>Not Started</v>
      </c>
      <c r="N22" t="str">
        <v>PROPOSED ARCH</v>
      </c>
    </row>
    <row r="23">
      <c r="A23" t="str">
        <v>E20</v>
      </c>
      <c r="B23" t="str">
        <v>Security, Privacy &amp; Accessibility</v>
      </c>
      <c r="C23" t="str">
        <v>MVP-P0</v>
      </c>
      <c r="D23" t="str">
        <v>Engineering/Product</v>
      </c>
      <c r="E23">
        <v>18</v>
      </c>
      <c r="F23">
        <v>57</v>
      </c>
      <c r="G23">
        <v>342</v>
      </c>
      <c r="H23">
        <v>51.30000000000001</v>
      </c>
      <c r="I23">
        <v>393.3</v>
      </c>
      <c r="J23">
        <v>0.03374777975133214</v>
      </c>
      <c r="K23" t="str">
        <v>See Dependencies sheet</v>
      </c>
      <c r="L23" t="str">
        <v/>
      </c>
      <c r="M23" t="str">
        <v>Not Started</v>
      </c>
      <c r="N23" t="str">
        <v>CONFIRMED/REQUIRED</v>
      </c>
    </row>
  </sheetData>
  <ignoredErrors>
    <ignoredError numberStoredAsText="1" sqref="A1:N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Delivery Duration Scenarios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Scenario durations are capacity-based planning estimates, not committed dates. Decision Align v1.1 moved Daily into P0 (increases P0 hours; reduces former P1). Staffing/calendar TBD.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Scenario</v>
      </c>
      <c r="B3" t="str">
        <v>FTE</v>
      </c>
      <c r="C3" t="str">
        <v>Effective h/week</v>
      </c>
      <c r="D3" t="str">
        <v>P0 Planned Hours</v>
      </c>
      <c r="E3" t="str">
        <v>P0 Duration (weeks)</v>
      </c>
      <c r="F3" t="str">
        <v>P1 Planned Hours</v>
      </c>
      <c r="G3" t="str">
        <v>P1 Duration (weeks)</v>
      </c>
      <c r="H3" t="str">
        <v>Total Duration Sequential</v>
      </c>
      <c r="I3" t="str">
        <v>Parallelization Note</v>
      </c>
      <c r="J3" t="str">
        <v>Decision State</v>
      </c>
    </row>
    <row r="4">
      <c r="A4" t="str">
        <v>Solo / AI-Assisted</v>
      </c>
      <c r="B4">
        <v>1</v>
      </c>
      <c r="C4">
        <v>30</v>
      </c>
      <c r="D4">
        <v>11654.100000000002</v>
      </c>
      <c r="E4">
        <v>388.4700000000001</v>
      </c>
      <c r="F4">
        <v>0</v>
      </c>
      <c r="G4">
        <v>0</v>
      </c>
      <c r="H4">
        <v>388.4700000000001</v>
      </c>
      <c r="I4" t="str">
        <v>Actual calendar duration may be shorter than effort/FTE because design, content, backend, QA and engineering can overlap. Dates remain TBD.</v>
      </c>
      <c r="J4" t="str">
        <v>PROPOSED capacity model only</v>
      </c>
    </row>
    <row r="5">
      <c r="A5" t="str">
        <v>Lean Team</v>
      </c>
      <c r="B5">
        <v>3</v>
      </c>
      <c r="C5">
        <v>90</v>
      </c>
      <c r="D5">
        <v>11654.100000000002</v>
      </c>
      <c r="E5">
        <v>129.49000000000004</v>
      </c>
      <c r="F5">
        <v>0</v>
      </c>
      <c r="G5">
        <v>0</v>
      </c>
      <c r="H5">
        <v>129.49000000000004</v>
      </c>
      <c r="I5" t="str">
        <v>Actual calendar duration may be shorter than effort/FTE because design, content, backend, QA and engineering can overlap. Dates remain TBD.</v>
      </c>
      <c r="J5" t="str">
        <v>PROPOSED capacity model only</v>
      </c>
    </row>
    <row r="6">
      <c r="A6" t="str">
        <v>Recommended Team</v>
      </c>
      <c r="B6">
        <v>5</v>
      </c>
      <c r="C6">
        <v>150</v>
      </c>
      <c r="D6">
        <v>11654.100000000002</v>
      </c>
      <c r="E6">
        <v>77.69400000000002</v>
      </c>
      <c r="F6">
        <v>0</v>
      </c>
      <c r="G6">
        <v>0</v>
      </c>
      <c r="H6">
        <v>77.69400000000002</v>
      </c>
      <c r="I6" t="str">
        <v>Actual calendar duration may be shorter than effort/FTE because design, content, backend, QA and engineering can overlap. Dates remain TBD.</v>
      </c>
      <c r="J6" t="str">
        <v>PROPOSED capacity model only</v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Estimation &amp; Delivery Roadmap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Milestone roadmap after Decision Align v1.1. Start/End Week values are relative project weeks only — not calendar dates. Staffing TBD.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Milestone</v>
      </c>
      <c r="B3" t="str">
        <v>Scope / Epic IDs</v>
      </c>
      <c r="C3" t="str">
        <v>Outcome</v>
      </c>
      <c r="D3" t="str">
        <v>Effort Hours</v>
      </c>
      <c r="E3" t="str">
        <v>Parallel Factor</v>
      </c>
      <c r="F3" t="str">
        <v>Effective Calendar Effort</v>
      </c>
      <c r="G3" t="str">
        <v>Scenario</v>
      </c>
      <c r="H3" t="str">
        <v>Weekly Capacity</v>
      </c>
      <c r="I3" t="str">
        <v>Duration Weeks</v>
      </c>
      <c r="J3" t="str">
        <v>Start Week</v>
      </c>
      <c r="K3" t="str">
        <v>End Week</v>
      </c>
      <c r="L3" t="str">
        <v>Status</v>
      </c>
      <c r="M3" t="str">
        <v>Decision State</v>
      </c>
    </row>
    <row r="4">
      <c r="A4" t="str">
        <v>M0 Foundations</v>
      </c>
      <c r="B4" t="str">
        <v>E01</v>
      </c>
      <c r="C4" t="str">
        <v>Approved implementation foundation and UX baseline</v>
      </c>
      <c r="D4">
        <v>303.59999999999997</v>
      </c>
      <c r="E4">
        <v>0.7</v>
      </c>
      <c r="F4">
        <v>212.51999999999995</v>
      </c>
      <c r="G4" t="str">
        <v>Recommended Team</v>
      </c>
      <c r="H4">
        <v>150</v>
      </c>
      <c r="I4">
        <v>1.4167999999999996</v>
      </c>
      <c r="J4">
        <v>1</v>
      </c>
      <c r="K4">
        <v>2.4167999999999994</v>
      </c>
      <c r="L4" t="str">
        <v>Not Started</v>
      </c>
      <c r="M4" t="str">
        <v>PROPOSED</v>
      </c>
    </row>
    <row r="5">
      <c r="A5" t="str">
        <v>M1 Playable Core</v>
      </c>
      <c r="B5" t="str">
        <v>E03</v>
      </c>
      <c r="C5" t="str">
        <v>Complete playable rules engine with fixed QA boards</v>
      </c>
      <c r="D5">
        <v>1021.2000000000007</v>
      </c>
      <c r="E5">
        <v>0.9</v>
      </c>
      <c r="F5">
        <v>919.0800000000007</v>
      </c>
      <c r="G5" t="str">
        <v>Recommended Team</v>
      </c>
      <c r="H5">
        <v>150</v>
      </c>
      <c r="I5">
        <v>6.127200000000005</v>
      </c>
      <c r="J5">
        <v>2.1334399999999993</v>
      </c>
      <c r="K5">
        <v>8.260640000000004</v>
      </c>
      <c r="L5" t="str">
        <v>Not Started</v>
      </c>
      <c r="M5" t="str">
        <v>PROPOSED</v>
      </c>
    </row>
    <row r="6">
      <c r="A6" t="str">
        <v>M2 Solver-Validated Game</v>
      </c>
      <c r="B6" t="str">
        <v>E04,E05</v>
      </c>
      <c r="C6" t="str">
        <v>Randomized Solver-validated gameplay + difficulty/generation</v>
      </c>
      <c r="D6">
        <v>1842.3000000000004</v>
      </c>
      <c r="E6">
        <v>0.7</v>
      </c>
      <c r="F6">
        <v>1289.6100000000001</v>
      </c>
      <c r="G6" t="str">
        <v>Recommended Team</v>
      </c>
      <c r="H6">
        <v>150</v>
      </c>
      <c r="I6">
        <v>8.5974</v>
      </c>
      <c r="J6">
        <v>7.035200000000003</v>
      </c>
      <c r="K6">
        <v>15.632600000000004</v>
      </c>
      <c r="L6" t="str">
        <v>Not Started</v>
      </c>
      <c r="M6" t="str">
        <v>PROPOSED</v>
      </c>
    </row>
    <row r="7">
      <c r="A7" t="str">
        <v>M3 Product Loop</v>
      </c>
      <c r="B7" t="str">
        <v>E06,E07,E08,E09</v>
      </c>
      <c r="C7" t="str">
        <v>Tutorial, Journey, rewards, assistance and local resume</v>
      </c>
      <c r="D7">
        <v>1704.3</v>
      </c>
      <c r="E7">
        <v>0.75</v>
      </c>
      <c r="F7">
        <v>1278.225</v>
      </c>
      <c r="G7" t="str">
        <v>Recommended Team</v>
      </c>
      <c r="H7">
        <v>150</v>
      </c>
      <c r="I7">
        <v>8.5215</v>
      </c>
      <c r="J7">
        <v>13.913120000000003</v>
      </c>
      <c r="K7">
        <v>22.434620000000002</v>
      </c>
      <c r="L7" t="str">
        <v>Not Started</v>
      </c>
      <c r="M7" t="str">
        <v>PROPOSED</v>
      </c>
    </row>
    <row r="8">
      <c r="A8" t="str">
        <v>M4 Online Platform</v>
      </c>
      <c r="B8" t="str">
        <v>E11,E12,E14</v>
      </c>
      <c r="C8" t="str">
        <v>Identity, Firebase/GCP serverless, cloud sync, telemetry and content delivery</v>
      </c>
      <c r="D8">
        <v>1766.4</v>
      </c>
      <c r="E8">
        <v>0.7</v>
      </c>
      <c r="F8">
        <v>1236.48</v>
      </c>
      <c r="G8" t="str">
        <v>Recommended Team</v>
      </c>
      <c r="H8">
        <v>150</v>
      </c>
      <c r="I8">
        <v>8.2432</v>
      </c>
      <c r="J8">
        <v>20.730320000000003</v>
      </c>
      <c r="K8">
        <v>28.97352</v>
      </c>
      <c r="L8" t="str">
        <v>Not Started</v>
      </c>
      <c r="M8" t="str">
        <v>CONFIRMED</v>
      </c>
    </row>
    <row r="9">
      <c r="A9" t="str">
        <v>M5 CMS &amp; Monetization</v>
      </c>
      <c r="B9" t="str">
        <v>E10,E13</v>
      </c>
      <c r="C9" t="str">
        <v>Store/ad flows plus operational CMS/publishing</v>
      </c>
      <c r="D9">
        <v>1614.6000000000004</v>
      </c>
      <c r="E9">
        <v>0.75</v>
      </c>
      <c r="F9">
        <v>1210.9500000000003</v>
      </c>
      <c r="G9" t="str">
        <v>Recommended Team</v>
      </c>
      <c r="H9">
        <v>150</v>
      </c>
      <c r="I9">
        <v>8.073000000000002</v>
      </c>
      <c r="J9">
        <v>27.32488</v>
      </c>
      <c r="K9">
        <v>35.39788</v>
      </c>
      <c r="L9" t="str">
        <v>Not Started</v>
      </c>
      <c r="M9" t="str">
        <v>PROPOSED</v>
      </c>
    </row>
    <row r="10">
      <c r="A10" t="str">
        <v>M6 Release Hardening</v>
      </c>
      <c r="B10" t="str">
        <v>E02,E18,E19,E20</v>
      </c>
      <c r="C10" t="str">
        <v>Launch content, automated validation, DevOps, security/compliance hardening</v>
      </c>
      <c r="D10">
        <v>2442.6000000000004</v>
      </c>
      <c r="E10">
        <v>0.65</v>
      </c>
      <c r="F10">
        <v>1587.6900000000003</v>
      </c>
      <c r="G10" t="str">
        <v>Recommended Team</v>
      </c>
      <c r="H10">
        <v>150</v>
      </c>
      <c r="I10">
        <v>10.584600000000002</v>
      </c>
      <c r="J10">
        <v>33.78328</v>
      </c>
      <c r="K10">
        <v>44.36788</v>
      </c>
      <c r="L10" t="str">
        <v>Not Started</v>
      </c>
      <c r="M10" t="str">
        <v>PROPOSED</v>
      </c>
    </row>
    <row r="11">
      <c r="A11" t="str">
        <v>M7 Launch Daily Engagement (P0)</v>
      </c>
      <c r="B11" t="str">
        <v>E15,E16,E17</v>
      </c>
      <c r="C11" t="str">
        <v>Daily Reward, Daily Challenge, Streak and smart notifications (launch P0)</v>
      </c>
      <c r="D11">
        <v>959.0999999999999</v>
      </c>
      <c r="E11">
        <v>0.8</v>
      </c>
      <c r="F11">
        <v>767.28</v>
      </c>
      <c r="G11" t="str">
        <v>Recommended Team</v>
      </c>
      <c r="H11">
        <v>150</v>
      </c>
      <c r="I11">
        <v>5.1152</v>
      </c>
      <c r="J11">
        <v>42.25096</v>
      </c>
      <c r="K11">
        <v>47.36616</v>
      </c>
      <c r="L11" t="str">
        <v>Not Started</v>
      </c>
      <c r="M11" t="str">
        <v>CONFIRMED</v>
      </c>
    </row>
  </sheetData>
  <ignoredErrors>
    <ignoredError numberStoredAsText="1" sqref="A1:M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sheetData>
    <row r="1">
      <c r="A1" t="str">
        <v>Role Effort &amp; Cost Plan</v>
      </c>
    </row>
    <row r="2">
      <c r="A2" t="str">
        <v>Role hours are derived from task Story Points. Hourly rates are intentionally left at 0 and highlighted for input; cost becomes formula-driven after rates are entered.</v>
      </c>
    </row>
    <row r="3">
      <c r="A3" t="str">
        <v>Role</v>
      </c>
      <c r="B3" t="str">
        <v>Task Count</v>
      </c>
      <c r="C3" t="str">
        <v>Story Points</v>
      </c>
      <c r="D3" t="str">
        <v>Base Hours</v>
      </c>
      <c r="E3" t="str">
        <v>Contingency Hours</v>
      </c>
      <c r="F3" t="str">
        <v>Planned Hours</v>
      </c>
      <c r="G3" t="str">
        <v>Hourly Rate</v>
      </c>
      <c r="H3" t="str">
        <v>Estimated Cost</v>
      </c>
      <c r="I3" t="str">
        <v>Suggested FTE</v>
      </c>
      <c r="J3" t="str">
        <v>Weeks at Suggested FTE</v>
      </c>
      <c r="K3" t="str">
        <v>Decision State</v>
      </c>
    </row>
    <row r="4">
      <c r="A4" t="str">
        <v>QA Engineer</v>
      </c>
      <c r="B4">
        <f>COUNTIF('Task Estimates'!$H:$H,A4)</f>
        <v>170</v>
      </c>
      <c r="C4">
        <f>SUMIF('Task Estimates'!$H:$H,A4,'Task Estimates'!$J:$J)</f>
        <v>569</v>
      </c>
      <c r="D4">
        <f>SUMIF('Task Estimates'!$H:$H,A4,'Task Estimates'!$K:$K)</f>
        <v>3414</v>
      </c>
      <c r="E4">
        <f>SUMIF('Task Estimates'!$H:$H,A4,'Task Estimates'!$L:$L)</f>
        <v>512.0999999999998</v>
      </c>
      <c r="F4">
        <f>SUMIF('Task Estimates'!$H:$H,A4,'Task Estimates'!$M:$M)</f>
        <v>3926.099999999997</v>
      </c>
      <c r="G4">
        <v>0</v>
      </c>
      <c r="H4">
        <f>F4*G4</f>
        <v>0</v>
      </c>
      <c r="I4">
        <v>0</v>
      </c>
      <c r="J4" t="str">
        <f>IF(I4=0,"",F4/(I4*Assumptions!$B$6*Assumptions!$B$7*Assumptions!$B$8))</f>
        <v/>
      </c>
      <c r="K4" t="str">
        <v>TBD</v>
      </c>
    </row>
    <row r="5">
      <c r="A5" t="str">
        <v>Game Engineer</v>
      </c>
      <c r="B5">
        <f>COUNTIF('Task Estimates'!$H:$H,A5)</f>
        <v>46</v>
      </c>
      <c r="C5">
        <f>SUMIF('Task Estimates'!$H:$H,A5,'Task Estimates'!$J:$J)</f>
        <v>192</v>
      </c>
      <c r="D5">
        <f>SUMIF('Task Estimates'!$H:$H,A5,'Task Estimates'!$K:$K)</f>
        <v>1152</v>
      </c>
      <c r="E5">
        <f>SUMIF('Task Estimates'!$H:$H,A5,'Task Estimates'!$L:$L)</f>
        <v>172.79999999999993</v>
      </c>
      <c r="F5">
        <f>SUMIF('Task Estimates'!$H:$H,A5,'Task Estimates'!$M:$M)</f>
        <v>1324.8000000000002</v>
      </c>
      <c r="G5">
        <v>0</v>
      </c>
      <c r="H5">
        <f>F5*G5</f>
        <v>0</v>
      </c>
      <c r="I5">
        <v>0</v>
      </c>
      <c r="J5" t="str">
        <f>IF(I5=0,"",F5/(I5*Assumptions!$B$6*Assumptions!$B$7*Assumptions!$B$8))</f>
        <v/>
      </c>
      <c r="K5" t="str">
        <v>TBD</v>
      </c>
    </row>
    <row r="6">
      <c r="A6" t="str">
        <v>Backend Engineer</v>
      </c>
      <c r="B6">
        <f>COUNTIF('Task Estimates'!$H:$H,A6)</f>
        <v>52</v>
      </c>
      <c r="C6">
        <f>SUMIF('Task Estimates'!$H:$H,A6,'Task Estimates'!$J:$J)</f>
        <v>192</v>
      </c>
      <c r="D6">
        <f>SUMIF('Task Estimates'!$H:$H,A6,'Task Estimates'!$K:$K)</f>
        <v>1152</v>
      </c>
      <c r="E6">
        <f>SUMIF('Task Estimates'!$H:$H,A6,'Task Estimates'!$L:$L)</f>
        <v>172.7999999999999</v>
      </c>
      <c r="F6">
        <f>SUMIF('Task Estimates'!$H:$H,A6,'Task Estimates'!$M:$M)</f>
        <v>1324.8</v>
      </c>
      <c r="G6">
        <v>0</v>
      </c>
      <c r="H6">
        <f>F6*G6</f>
        <v>0</v>
      </c>
      <c r="I6">
        <v>0</v>
      </c>
      <c r="J6" t="str">
        <f>IF(I6=0,"",F6/(I6*Assumptions!$B$6*Assumptions!$B$7*Assumptions!$B$8))</f>
        <v/>
      </c>
      <c r="K6" t="str">
        <v>TBD</v>
      </c>
    </row>
    <row r="7">
      <c r="A7" t="str">
        <v>Solver Engineer</v>
      </c>
      <c r="B7">
        <f>COUNTIF('Task Estimates'!$H:$H,A7)</f>
        <v>20</v>
      </c>
      <c r="C7">
        <f>SUMIF('Task Estimates'!$H:$H,A7,'Task Estimates'!$J:$J)</f>
        <v>100</v>
      </c>
      <c r="D7">
        <f>SUMIF('Task Estimates'!$H:$H,A7,'Task Estimates'!$K:$K)</f>
        <v>600</v>
      </c>
      <c r="E7">
        <f>SUMIF('Task Estimates'!$H:$H,A7,'Task Estimates'!$L:$L)</f>
        <v>89.99999999999999</v>
      </c>
      <c r="F7">
        <f>SUMIF('Task Estimates'!$H:$H,A7,'Task Estimates'!$M:$M)</f>
        <v>690.0000000000001</v>
      </c>
      <c r="G7">
        <v>0</v>
      </c>
      <c r="H7">
        <f>F7*G7</f>
        <v>0</v>
      </c>
      <c r="I7">
        <v>0</v>
      </c>
      <c r="J7" t="str">
        <f>IF(I7=0,"",F7/(I7*Assumptions!$B$6*Assumptions!$B$7*Assumptions!$B$8))</f>
        <v/>
      </c>
      <c r="K7" t="str">
        <v>TBD</v>
      </c>
    </row>
    <row r="8">
      <c r="A8" t="str">
        <v>Product Engineer</v>
      </c>
      <c r="B8">
        <f>COUNTIF('Task Estimates'!$H:$H,A8)</f>
        <v>20</v>
      </c>
      <c r="C8">
        <f>SUMIF('Task Estimates'!$H:$H,A8,'Task Estimates'!$J:$J)</f>
        <v>66</v>
      </c>
      <c r="D8">
        <f>SUMIF('Task Estimates'!$H:$H,A8,'Task Estimates'!$K:$K)</f>
        <v>396</v>
      </c>
      <c r="E8">
        <f>SUMIF('Task Estimates'!$H:$H,A8,'Task Estimates'!$L:$L)</f>
        <v>59.400000000000006</v>
      </c>
      <c r="F8">
        <f>SUMIF('Task Estimates'!$H:$H,A8,'Task Estimates'!$M:$M)</f>
        <v>455.40000000000003</v>
      </c>
      <c r="G8">
        <v>0</v>
      </c>
      <c r="H8">
        <f>F8*G8</f>
        <v>0</v>
      </c>
      <c r="I8">
        <v>0</v>
      </c>
      <c r="J8" t="str">
        <f>IF(I8=0,"",F8/(I8*Assumptions!$B$6*Assumptions!$B$7*Assumptions!$B$8))</f>
        <v/>
      </c>
      <c r="K8" t="str">
        <v>TBD</v>
      </c>
    </row>
    <row r="9">
      <c r="A9" t="str">
        <v>Admin Engineer</v>
      </c>
      <c r="B9">
        <f>COUNTIF('Task Estimates'!$H:$H,A9)</f>
        <v>12</v>
      </c>
      <c r="C9">
        <f>SUMIF('Task Estimates'!$H:$H,A9,'Task Estimates'!$J:$J)</f>
        <v>57</v>
      </c>
      <c r="D9">
        <f>SUMIF('Task Estimates'!$H:$H,A9,'Task Estimates'!$K:$K)</f>
        <v>342</v>
      </c>
      <c r="E9">
        <f>SUMIF('Task Estimates'!$H:$H,A9,'Task Estimates'!$L:$L)</f>
        <v>51.30000000000001</v>
      </c>
      <c r="F9">
        <f>SUMIF('Task Estimates'!$H:$H,A9,'Task Estimates'!$M:$M)</f>
        <v>393.3</v>
      </c>
      <c r="G9">
        <v>0</v>
      </c>
      <c r="H9">
        <f>F9*G9</f>
        <v>0</v>
      </c>
      <c r="I9">
        <v>0</v>
      </c>
      <c r="J9" t="str">
        <f>IF(I9=0,"",F9/(I9*Assumptions!$B$6*Assumptions!$B$7*Assumptions!$B$8))</f>
        <v/>
      </c>
      <c r="K9" t="str">
        <v>TBD</v>
      </c>
    </row>
    <row r="10">
      <c r="A10" t="str">
        <v>UI Engineer</v>
      </c>
      <c r="B10">
        <f>COUNTIF('Task Estimates'!$H:$H,A10)</f>
        <v>14</v>
      </c>
      <c r="C10">
        <f>SUMIF('Task Estimates'!$H:$H,A10,'Task Estimates'!$J:$J)</f>
        <v>53</v>
      </c>
      <c r="D10">
        <f>SUMIF('Task Estimates'!$H:$H,A10,'Task Estimates'!$K:$K)</f>
        <v>318</v>
      </c>
      <c r="E10">
        <f>SUMIF('Task Estimates'!$H:$H,A10,'Task Estimates'!$L:$L)</f>
        <v>47.699999999999996</v>
      </c>
      <c r="F10">
        <f>SUMIF('Task Estimates'!$H:$H,A10,'Task Estimates'!$M:$M)</f>
        <v>365.7</v>
      </c>
      <c r="G10">
        <v>0</v>
      </c>
      <c r="H10">
        <f>F10*G10</f>
        <v>0</v>
      </c>
      <c r="I10">
        <v>0</v>
      </c>
      <c r="J10" t="str">
        <f>IF(I10=0,"",F10/(I10*Assumptions!$B$6*Assumptions!$B$7*Assumptions!$B$8))</f>
        <v/>
      </c>
      <c r="K10" t="str">
        <v>TBD</v>
      </c>
    </row>
    <row r="11">
      <c r="A11" t="str">
        <v>Analytics Engineer</v>
      </c>
      <c r="B11">
        <f>COUNTIF('Task Estimates'!$H:$H,A11)</f>
        <v>16</v>
      </c>
      <c r="C11">
        <f>SUMIF('Task Estimates'!$H:$H,A11,'Task Estimates'!$J:$J)</f>
        <v>48</v>
      </c>
      <c r="D11">
        <f>SUMIF('Task Estimates'!$H:$H,A11,'Task Estimates'!$K:$K)</f>
        <v>288</v>
      </c>
      <c r="E11">
        <f>SUMIF('Task Estimates'!$H:$H,A11,'Task Estimates'!$L:$L)</f>
        <v>43.199999999999996</v>
      </c>
      <c r="F11">
        <f>SUMIF('Task Estimates'!$H:$H,A11,'Task Estimates'!$M:$M)</f>
        <v>331.2</v>
      </c>
      <c r="G11">
        <v>0</v>
      </c>
      <c r="H11">
        <f>F11*G11</f>
        <v>0</v>
      </c>
      <c r="I11">
        <v>0</v>
      </c>
      <c r="J11" t="str">
        <f>IF(I11=0,"",F11/(I11*Assumptions!$B$6*Assumptions!$B$7*Assumptions!$B$8))</f>
        <v/>
      </c>
      <c r="K11" t="str">
        <v>TBD</v>
      </c>
    </row>
    <row r="12">
      <c r="A12" t="str">
        <v>Mobile/Backend Engineer</v>
      </c>
      <c r="B12">
        <f>COUNTIF('Task Estimates'!$H:$H,A12)</f>
        <v>16</v>
      </c>
      <c r="C12">
        <f>SUMIF('Task Estimates'!$H:$H,A12,'Task Estimates'!$J:$J)</f>
        <v>46</v>
      </c>
      <c r="D12">
        <f>SUMIF('Task Estimates'!$H:$H,A12,'Task Estimates'!$K:$K)</f>
        <v>276</v>
      </c>
      <c r="E12">
        <f>SUMIF('Task Estimates'!$H:$H,A12,'Task Estimates'!$L:$L)</f>
        <v>41.4</v>
      </c>
      <c r="F12">
        <f>SUMIF('Task Estimates'!$H:$H,A12,'Task Estimates'!$M:$M)</f>
        <v>317.4</v>
      </c>
      <c r="G12">
        <v>0</v>
      </c>
      <c r="H12">
        <f>F12*G12</f>
        <v>0</v>
      </c>
      <c r="I12">
        <v>0</v>
      </c>
      <c r="J12" t="str">
        <f>IF(I12=0,"",F12/(I12*Assumptions!$B$6*Assumptions!$B$7*Assumptions!$B$8))</f>
        <v/>
      </c>
      <c r="K12" t="str">
        <v>TBD</v>
      </c>
    </row>
    <row r="13">
      <c r="A13" t="str">
        <v>DevOps Engineer</v>
      </c>
      <c r="B13">
        <f>COUNTIF('Task Estimates'!$H:$H,A13)</f>
        <v>12</v>
      </c>
      <c r="C13">
        <f>SUMIF('Task Estimates'!$H:$H,A13,'Task Estimates'!$J:$J)</f>
        <v>40</v>
      </c>
      <c r="D13">
        <f>SUMIF('Task Estimates'!$H:$H,A13,'Task Estimates'!$K:$K)</f>
        <v>240</v>
      </c>
      <c r="E13">
        <f>SUMIF('Task Estimates'!$H:$H,A13,'Task Estimates'!$L:$L)</f>
        <v>36</v>
      </c>
      <c r="F13">
        <f>SUMIF('Task Estimates'!$H:$H,A13,'Task Estimates'!$M:$M)</f>
        <v>276</v>
      </c>
      <c r="G13">
        <v>0</v>
      </c>
      <c r="H13">
        <f>F13*G13</f>
        <v>0</v>
      </c>
      <c r="I13">
        <v>0</v>
      </c>
      <c r="J13" t="str">
        <f>IF(I13=0,"",F13/(I13*Assumptions!$B$6*Assumptions!$B$7*Assumptions!$B$8))</f>
        <v/>
      </c>
      <c r="K13" t="str">
        <v>TBD</v>
      </c>
    </row>
    <row r="14">
      <c r="A14" t="str">
        <v>Mobile Engineer</v>
      </c>
      <c r="B14">
        <f>COUNTIF('Task Estimates'!$H:$H,A14)</f>
        <v>12</v>
      </c>
      <c r="C14">
        <f>SUMIF('Task Estimates'!$H:$H,A14,'Task Estimates'!$J:$J)</f>
        <v>36</v>
      </c>
      <c r="D14">
        <f>SUMIF('Task Estimates'!$H:$H,A14,'Task Estimates'!$K:$K)</f>
        <v>216</v>
      </c>
      <c r="E14">
        <f>SUMIF('Task Estimates'!$H:$H,A14,'Task Estimates'!$L:$L)</f>
        <v>32.4</v>
      </c>
      <c r="F14">
        <f>SUMIF('Task Estimates'!$H:$H,A14,'Task Estimates'!$M:$M)</f>
        <v>248.4</v>
      </c>
      <c r="G14">
        <v>0</v>
      </c>
      <c r="H14">
        <f>F14*G14</f>
        <v>0</v>
      </c>
      <c r="I14">
        <v>0</v>
      </c>
      <c r="J14" t="str">
        <f>IF(I14=0,"",F14/(I14*Assumptions!$B$6*Assumptions!$B$7*Assumptions!$B$8))</f>
        <v/>
      </c>
      <c r="K14" t="str">
        <v>TBD</v>
      </c>
    </row>
    <row r="15">
      <c r="A15" t="str">
        <v>Game Designer</v>
      </c>
      <c r="B15">
        <f>COUNTIF('Task Estimates'!$H:$H,A15)</f>
        <v>10</v>
      </c>
      <c r="C15">
        <f>SUMIF('Task Estimates'!$H:$H,A15,'Task Estimates'!$J:$J)</f>
        <v>35</v>
      </c>
      <c r="D15">
        <f>SUMIF('Task Estimates'!$H:$H,A15,'Task Estimates'!$K:$K)</f>
        <v>210</v>
      </c>
      <c r="E15">
        <f>SUMIF('Task Estimates'!$H:$H,A15,'Task Estimates'!$L:$L)</f>
        <v>31.499999999999993</v>
      </c>
      <c r="F15">
        <f>SUMIF('Task Estimates'!$H:$H,A15,'Task Estimates'!$M:$M)</f>
        <v>241.49999999999997</v>
      </c>
      <c r="G15">
        <v>0</v>
      </c>
      <c r="H15">
        <f>F15*G15</f>
        <v>0</v>
      </c>
      <c r="I15">
        <v>0</v>
      </c>
      <c r="J15" t="str">
        <f>IF(I15=0,"",F15/(I15*Assumptions!$B$6*Assumptions!$B$7*Assumptions!$B$8))</f>
        <v/>
      </c>
      <c r="K15" t="str">
        <v>TBD</v>
      </c>
    </row>
    <row r="16">
      <c r="A16" t="str">
        <v>QA/Solver Engineer</v>
      </c>
      <c r="B16">
        <f>COUNTIF('Task Estimates'!$H:$H,A16)</f>
        <v>4</v>
      </c>
      <c r="C16">
        <f>SUMIF('Task Estimates'!$H:$H,A16,'Task Estimates'!$J:$J)</f>
        <v>24</v>
      </c>
      <c r="D16">
        <f>SUMIF('Task Estimates'!$H:$H,A16,'Task Estimates'!$K:$K)</f>
        <v>144</v>
      </c>
      <c r="E16">
        <f>SUMIF('Task Estimates'!$H:$H,A16,'Task Estimates'!$L:$L)</f>
        <v>21.6</v>
      </c>
      <c r="F16">
        <f>SUMIF('Task Estimates'!$H:$H,A16,'Task Estimates'!$M:$M)</f>
        <v>165.6</v>
      </c>
      <c r="G16">
        <v>0</v>
      </c>
      <c r="H16">
        <f>F16*G16</f>
        <v>0</v>
      </c>
      <c r="I16">
        <v>0</v>
      </c>
      <c r="J16" t="str">
        <f>IF(I16=0,"",F16/(I16*Assumptions!$B$6*Assumptions!$B$7*Assumptions!$B$8))</f>
        <v/>
      </c>
      <c r="K16" t="str">
        <v>TBD</v>
      </c>
    </row>
    <row r="17">
      <c r="A17" t="str">
        <v>Content Designer</v>
      </c>
      <c r="B17">
        <f>COUNTIF('Task Estimates'!$H:$H,A17)</f>
        <v>6</v>
      </c>
      <c r="C17">
        <f>SUMIF('Task Estimates'!$H:$H,A17,'Task Estimates'!$J:$J)</f>
        <v>21</v>
      </c>
      <c r="D17">
        <f>SUMIF('Task Estimates'!$H:$H,A17,'Task Estimates'!$K:$K)</f>
        <v>126</v>
      </c>
      <c r="E17">
        <f>SUMIF('Task Estimates'!$H:$H,A17,'Task Estimates'!$L:$L)</f>
        <v>18.9</v>
      </c>
      <c r="F17">
        <f>SUMIF('Task Estimates'!$H:$H,A17,'Task Estimates'!$M:$M)</f>
        <v>144.9</v>
      </c>
      <c r="G17">
        <v>0</v>
      </c>
      <c r="H17">
        <f>F17*G17</f>
        <v>0</v>
      </c>
      <c r="I17">
        <v>0</v>
      </c>
      <c r="J17" t="str">
        <f>IF(I17=0,"",F17/(I17*Assumptions!$B$6*Assumptions!$B$7*Assumptions!$B$8))</f>
        <v/>
      </c>
      <c r="K17" t="str">
        <v>TBD</v>
      </c>
    </row>
    <row r="18">
      <c r="A18" t="str">
        <v>Backend/Admin Engineer</v>
      </c>
      <c r="B18">
        <f>COUNTIF('Task Estimates'!$H:$H,A18)</f>
        <v>4</v>
      </c>
      <c r="C18">
        <f>SUMIF('Task Estimates'!$H:$H,A18,'Task Estimates'!$J:$J)</f>
        <v>19</v>
      </c>
      <c r="D18">
        <f>SUMIF('Task Estimates'!$H:$H,A18,'Task Estimates'!$K:$K)</f>
        <v>114</v>
      </c>
      <c r="E18">
        <f>SUMIF('Task Estimates'!$H:$H,A18,'Task Estimates'!$L:$L)</f>
        <v>17.099999999999998</v>
      </c>
      <c r="F18">
        <f>SUMIF('Task Estimates'!$H:$H,A18,'Task Estimates'!$M:$M)</f>
        <v>131.1</v>
      </c>
      <c r="G18">
        <v>0</v>
      </c>
      <c r="H18">
        <f>F18*G18</f>
        <v>0</v>
      </c>
      <c r="I18">
        <v>0</v>
      </c>
      <c r="J18" t="str">
        <f>IF(I18=0,"",F18/(I18*Assumptions!$B$6*Assumptions!$B$7*Assumptions!$B$8))</f>
        <v/>
      </c>
      <c r="K18" t="str">
        <v>TBD</v>
      </c>
    </row>
    <row r="19">
      <c r="A19" t="str">
        <v>UX Designer</v>
      </c>
      <c r="B19">
        <f>COUNTIF('Task Estimates'!$H:$H,A19)</f>
        <v>4</v>
      </c>
      <c r="C19">
        <f>SUMIF('Task Estimates'!$H:$H,A19,'Task Estimates'!$J:$J)</f>
        <v>12</v>
      </c>
      <c r="D19">
        <f>SUMIF('Task Estimates'!$H:$H,A19,'Task Estimates'!$K:$K)</f>
        <v>72</v>
      </c>
      <c r="E19">
        <f>SUMIF('Task Estimates'!$H:$H,A19,'Task Estimates'!$L:$L)</f>
        <v>10.799999999999997</v>
      </c>
      <c r="F19">
        <f>SUMIF('Task Estimates'!$H:$H,A19,'Task Estimates'!$M:$M)</f>
        <v>82.8</v>
      </c>
      <c r="G19">
        <v>0</v>
      </c>
      <c r="H19">
        <f>F19*G19</f>
        <v>0</v>
      </c>
      <c r="I19">
        <v>0</v>
      </c>
      <c r="J19" t="str">
        <f>IF(I19=0,"",F19/(I19*Assumptions!$B$6*Assumptions!$B$7*Assumptions!$B$8))</f>
        <v/>
      </c>
      <c r="K19" t="str">
        <v>TBD</v>
      </c>
    </row>
    <row r="20">
      <c r="A20" t="str">
        <v>Content Team</v>
      </c>
      <c r="B20">
        <f>COUNTIF('Task Estimates'!$H:$H,A20)</f>
        <v>2</v>
      </c>
      <c r="C20">
        <f>SUMIF('Task Estimates'!$H:$H,A20,'Task Estimates'!$J:$J)</f>
        <v>12</v>
      </c>
      <c r="D20">
        <f>SUMIF('Task Estimates'!$H:$H,A20,'Task Estimates'!$K:$K)</f>
        <v>72</v>
      </c>
      <c r="E20">
        <f>SUMIF('Task Estimates'!$H:$H,A20,'Task Estimates'!$L:$L)</f>
        <v>10.8</v>
      </c>
      <c r="F20">
        <f>SUMIF('Task Estimates'!$H:$H,A20,'Task Estimates'!$M:$M)</f>
        <v>82.8</v>
      </c>
      <c r="G20">
        <v>0</v>
      </c>
      <c r="H20">
        <f>F20*G20</f>
        <v>0</v>
      </c>
      <c r="I20">
        <v>0</v>
      </c>
      <c r="J20" t="str">
        <f>IF(I20=0,"",F20/(I20*Assumptions!$B$6*Assumptions!$B$7*Assumptions!$B$8))</f>
        <v/>
      </c>
      <c r="K20" t="str">
        <v>TBD</v>
      </c>
    </row>
    <row r="21">
      <c r="A21" t="str">
        <v>Backend/Mobile Engineer</v>
      </c>
      <c r="B21">
        <f>COUNTIF('Task Estimates'!$H:$H,A21)</f>
        <v>4</v>
      </c>
      <c r="C21">
        <f>SUMIF('Task Estimates'!$H:$H,A21,'Task Estimates'!$J:$J)</f>
        <v>12</v>
      </c>
      <c r="D21">
        <f>SUMIF('Task Estimates'!$H:$H,A21,'Task Estimates'!$K:$K)</f>
        <v>72</v>
      </c>
      <c r="E21">
        <f>SUMIF('Task Estimates'!$H:$H,A21,'Task Estimates'!$L:$L)</f>
        <v>10.799999999999999</v>
      </c>
      <c r="F21">
        <f>SUMIF('Task Estimates'!$H:$H,A21,'Task Estimates'!$M:$M)</f>
        <v>82.80000000000001</v>
      </c>
      <c r="G21">
        <v>0</v>
      </c>
      <c r="H21">
        <f>F21*G21</f>
        <v>0</v>
      </c>
      <c r="I21">
        <v>0</v>
      </c>
      <c r="J21" t="str">
        <f>IF(I21=0,"",F21/(I21*Assumptions!$B$6*Assumptions!$B$7*Assumptions!$B$8))</f>
        <v/>
      </c>
      <c r="K21" t="str">
        <v>TBD</v>
      </c>
    </row>
    <row r="22">
      <c r="A22" t="str">
        <v>Admin/Game Engineer</v>
      </c>
      <c r="B22">
        <f>COUNTIF('Task Estimates'!$H:$H,A22)</f>
        <v>2</v>
      </c>
      <c r="C22">
        <f>SUMIF('Task Estimates'!$H:$H,A22,'Task Estimates'!$J:$J)</f>
        <v>12</v>
      </c>
      <c r="D22">
        <f>SUMIF('Task Estimates'!$H:$H,A22,'Task Estimates'!$K:$K)</f>
        <v>72</v>
      </c>
      <c r="E22">
        <f>SUMIF('Task Estimates'!$H:$H,A22,'Task Estimates'!$L:$L)</f>
        <v>10.8</v>
      </c>
      <c r="F22">
        <f>SUMIF('Task Estimates'!$H:$H,A22,'Task Estimates'!$M:$M)</f>
        <v>82.8</v>
      </c>
      <c r="G22">
        <v>0</v>
      </c>
      <c r="H22">
        <f>F22*G22</f>
        <v>0</v>
      </c>
      <c r="I22">
        <v>0</v>
      </c>
      <c r="J22" t="str">
        <f>IF(I22=0,"",F22/(I22*Assumptions!$B$6*Assumptions!$B$7*Assumptions!$B$8))</f>
        <v/>
      </c>
      <c r="K22" t="str">
        <v>TBD</v>
      </c>
    </row>
    <row r="23">
      <c r="A23" t="str">
        <v>Solver/Backend Engineer</v>
      </c>
      <c r="B23">
        <f>COUNTIF('Task Estimates'!$H:$H,A23)</f>
        <v>2</v>
      </c>
      <c r="C23">
        <f>SUMIF('Task Estimates'!$H:$H,A23,'Task Estimates'!$J:$J)</f>
        <v>12</v>
      </c>
      <c r="D23">
        <f>SUMIF('Task Estimates'!$H:$H,A23,'Task Estimates'!$K:$K)</f>
        <v>72</v>
      </c>
      <c r="E23">
        <f>SUMIF('Task Estimates'!$H:$H,A23,'Task Estimates'!$L:$L)</f>
        <v>10.8</v>
      </c>
      <c r="F23">
        <f>SUMIF('Task Estimates'!$H:$H,A23,'Task Estimates'!$M:$M)</f>
        <v>82.8</v>
      </c>
      <c r="G23">
        <v>0</v>
      </c>
      <c r="H23">
        <f>F23*G23</f>
        <v>0</v>
      </c>
      <c r="I23">
        <v>0</v>
      </c>
      <c r="J23" t="str">
        <f>IF(I23=0,"",F23/(I23*Assumptions!$B$6*Assumptions!$B$7*Assumptions!$B$8))</f>
        <v/>
      </c>
      <c r="K23" t="str">
        <v>TBD</v>
      </c>
    </row>
    <row r="24">
      <c r="A24" t="str">
        <v>QA/Game Engineer</v>
      </c>
      <c r="B24">
        <f>COUNTIF('Task Estimates'!$H:$H,A24)</f>
        <v>2</v>
      </c>
      <c r="C24">
        <f>SUMIF('Task Estimates'!$H:$H,A24,'Task Estimates'!$J:$J)</f>
        <v>12</v>
      </c>
      <c r="D24">
        <f>SUMIF('Task Estimates'!$H:$H,A24,'Task Estimates'!$K:$K)</f>
        <v>72</v>
      </c>
      <c r="E24">
        <f>SUMIF('Task Estimates'!$H:$H,A24,'Task Estimates'!$L:$L)</f>
        <v>10.8</v>
      </c>
      <c r="F24">
        <f>SUMIF('Task Estimates'!$H:$H,A24,'Task Estimates'!$M:$M)</f>
        <v>82.8</v>
      </c>
      <c r="G24">
        <v>0</v>
      </c>
      <c r="H24">
        <f>F24*G24</f>
        <v>0</v>
      </c>
      <c r="I24">
        <v>0</v>
      </c>
      <c r="J24" t="str">
        <f>IF(I24=0,"",F24/(I24*Assumptions!$B$6*Assumptions!$B$7*Assumptions!$B$8))</f>
        <v/>
      </c>
      <c r="K24" t="str">
        <v>TBD</v>
      </c>
    </row>
    <row r="25">
      <c r="A25" t="str">
        <v>UX/Game Designer</v>
      </c>
      <c r="B25">
        <f>COUNTIF('Task Estimates'!$H:$H,A25)</f>
        <v>2</v>
      </c>
      <c r="C25">
        <f>SUMIF('Task Estimates'!$H:$H,A25,'Task Estimates'!$J:$J)</f>
        <v>7</v>
      </c>
      <c r="D25">
        <f>SUMIF('Task Estimates'!$H:$H,A25,'Task Estimates'!$K:$K)</f>
        <v>42</v>
      </c>
      <c r="E25">
        <f>SUMIF('Task Estimates'!$H:$H,A25,'Task Estimates'!$L:$L)</f>
        <v>6.299999999999999</v>
      </c>
      <c r="F25">
        <f>SUMIF('Task Estimates'!$H:$H,A25,'Task Estimates'!$M:$M)</f>
        <v>48.3</v>
      </c>
      <c r="G25">
        <v>0</v>
      </c>
      <c r="H25">
        <f>F25*G25</f>
        <v>0</v>
      </c>
      <c r="I25">
        <v>0</v>
      </c>
      <c r="J25" t="str">
        <f>IF(I25=0,"",F25/(I25*Assumptions!$B$6*Assumptions!$B$7*Assumptions!$B$8))</f>
        <v/>
      </c>
      <c r="K25" t="str">
        <v>TBD</v>
      </c>
    </row>
    <row r="26">
      <c r="A26" t="str">
        <v>UI Designer</v>
      </c>
      <c r="B26">
        <f>COUNTIF('Task Estimates'!$H:$H,A26)</f>
        <v>2</v>
      </c>
      <c r="C26">
        <f>SUMIF('Task Estimates'!$H:$H,A26,'Task Estimates'!$J:$J)</f>
        <v>7</v>
      </c>
      <c r="D26">
        <f>SUMIF('Task Estimates'!$H:$H,A26,'Task Estimates'!$K:$K)</f>
        <v>42</v>
      </c>
      <c r="E26">
        <f>SUMIF('Task Estimates'!$H:$H,A26,'Task Estimates'!$L:$L)</f>
        <v>6.299999999999999</v>
      </c>
      <c r="F26">
        <f>SUMIF('Task Estimates'!$H:$H,A26,'Task Estimates'!$M:$M)</f>
        <v>48.3</v>
      </c>
      <c r="G26">
        <v>0</v>
      </c>
      <c r="H26">
        <f>F26*G26</f>
        <v>0</v>
      </c>
      <c r="I26">
        <v>0</v>
      </c>
      <c r="J26" t="str">
        <f>IF(I26=0,"",F26/(I26*Assumptions!$B$6*Assumptions!$B$7*Assumptions!$B$8))</f>
        <v/>
      </c>
      <c r="K26" t="str">
        <v>TBD</v>
      </c>
    </row>
    <row r="27">
      <c r="A27" t="str">
        <v>Content Architect</v>
      </c>
      <c r="B27">
        <f>COUNTIF('Task Estimates'!$H:$H,A27)</f>
        <v>2</v>
      </c>
      <c r="C27">
        <f>SUMIF('Task Estimates'!$H:$H,A27,'Task Estimates'!$J:$J)</f>
        <v>7</v>
      </c>
      <c r="D27">
        <f>SUMIF('Task Estimates'!$H:$H,A27,'Task Estimates'!$K:$K)</f>
        <v>42</v>
      </c>
      <c r="E27">
        <f>SUMIF('Task Estimates'!$H:$H,A27,'Task Estimates'!$L:$L)</f>
        <v>6.299999999999999</v>
      </c>
      <c r="F27">
        <f>SUMIF('Task Estimates'!$H:$H,A27,'Task Estimates'!$M:$M)</f>
        <v>48.3</v>
      </c>
      <c r="G27">
        <v>0</v>
      </c>
      <c r="H27">
        <f>F27*G27</f>
        <v>0</v>
      </c>
      <c r="I27">
        <v>0</v>
      </c>
      <c r="J27" t="str">
        <f>IF(I27=0,"",F27/(I27*Assumptions!$B$6*Assumptions!$B$7*Assumptions!$B$8))</f>
        <v/>
      </c>
      <c r="K27" t="str">
        <v>TBD</v>
      </c>
    </row>
    <row r="28">
      <c r="A28" t="str">
        <v>Content Engineer</v>
      </c>
      <c r="B28">
        <f>COUNTIF('Task Estimates'!$H:$H,A28)</f>
        <v>2</v>
      </c>
      <c r="C28">
        <f>SUMIF('Task Estimates'!$H:$H,A28,'Task Estimates'!$J:$J)</f>
        <v>7</v>
      </c>
      <c r="D28">
        <f>SUMIF('Task Estimates'!$H:$H,A28,'Task Estimates'!$K:$K)</f>
        <v>42</v>
      </c>
      <c r="E28">
        <f>SUMIF('Task Estimates'!$H:$H,A28,'Task Estimates'!$L:$L)</f>
        <v>6.299999999999999</v>
      </c>
      <c r="F28">
        <f>SUMIF('Task Estimates'!$H:$H,A28,'Task Estimates'!$M:$M)</f>
        <v>48.3</v>
      </c>
      <c r="G28">
        <v>0</v>
      </c>
      <c r="H28">
        <f>F28*G28</f>
        <v>0</v>
      </c>
      <c r="I28">
        <v>0</v>
      </c>
      <c r="J28" t="str">
        <f>IF(I28=0,"",F28/(I28*Assumptions!$B$6*Assumptions!$B$7*Assumptions!$B$8))</f>
        <v/>
      </c>
      <c r="K28" t="str">
        <v>TBD</v>
      </c>
    </row>
    <row r="29">
      <c r="A29" t="str">
        <v>Game Designer/Engineer</v>
      </c>
      <c r="B29">
        <f>COUNTIF('Task Estimates'!$H:$H,A29)</f>
        <v>2</v>
      </c>
      <c r="C29">
        <f>SUMIF('Task Estimates'!$H:$H,A29,'Task Estimates'!$J:$J)</f>
        <v>7</v>
      </c>
      <c r="D29">
        <f>SUMIF('Task Estimates'!$H:$H,A29,'Task Estimates'!$K:$K)</f>
        <v>42</v>
      </c>
      <c r="E29">
        <f>SUMIF('Task Estimates'!$H:$H,A29,'Task Estimates'!$L:$L)</f>
        <v>6.299999999999999</v>
      </c>
      <c r="F29">
        <f>SUMIF('Task Estimates'!$H:$H,A29,'Task Estimates'!$M:$M)</f>
        <v>48.3</v>
      </c>
      <c r="G29">
        <v>0</v>
      </c>
      <c r="H29">
        <f>F29*G29</f>
        <v>0</v>
      </c>
      <c r="I29">
        <v>0</v>
      </c>
      <c r="J29" t="str">
        <f>IF(I29=0,"",F29/(I29*Assumptions!$B$6*Assumptions!$B$7*Assumptions!$B$8))</f>
        <v/>
      </c>
      <c r="K29" t="str">
        <v>TBD</v>
      </c>
    </row>
    <row r="30">
      <c r="A30" t="str">
        <v>Analyst</v>
      </c>
      <c r="B30">
        <f>COUNTIF('Task Estimates'!$H:$H,A30)</f>
        <v>2</v>
      </c>
      <c r="C30">
        <f>SUMIF('Task Estimates'!$H:$H,A30,'Task Estimates'!$J:$J)</f>
        <v>7</v>
      </c>
      <c r="D30">
        <f>SUMIF('Task Estimates'!$H:$H,A30,'Task Estimates'!$K:$K)</f>
        <v>42</v>
      </c>
      <c r="E30">
        <f>SUMIF('Task Estimates'!$H:$H,A30,'Task Estimates'!$L:$L)</f>
        <v>6.299999999999999</v>
      </c>
      <c r="F30">
        <f>SUMIF('Task Estimates'!$H:$H,A30,'Task Estimates'!$M:$M)</f>
        <v>48.3</v>
      </c>
      <c r="G30">
        <v>0</v>
      </c>
      <c r="H30">
        <f>F30*G30</f>
        <v>0</v>
      </c>
      <c r="I30">
        <v>0</v>
      </c>
      <c r="J30" t="str">
        <f>IF(I30=0,"",F30/(I30*Assumptions!$B$6*Assumptions!$B$7*Assumptions!$B$8))</f>
        <v/>
      </c>
      <c r="K30" t="str">
        <v>TBD</v>
      </c>
    </row>
    <row r="31">
      <c r="A31" t="str">
        <v>Backend/Game Designer</v>
      </c>
      <c r="B31">
        <f>COUNTIF('Task Estimates'!$H:$H,A31)</f>
        <v>2</v>
      </c>
      <c r="C31">
        <f>SUMIF('Task Estimates'!$H:$H,A31,'Task Estimates'!$J:$J)</f>
        <v>7</v>
      </c>
      <c r="D31">
        <f>SUMIF('Task Estimates'!$H:$H,A31,'Task Estimates'!$K:$K)</f>
        <v>42</v>
      </c>
      <c r="E31">
        <f>SUMIF('Task Estimates'!$H:$H,A31,'Task Estimates'!$L:$L)</f>
        <v>6.299999999999999</v>
      </c>
      <c r="F31">
        <f>SUMIF('Task Estimates'!$H:$H,A31,'Task Estimates'!$M:$M)</f>
        <v>48.3</v>
      </c>
      <c r="G31">
        <v>0</v>
      </c>
      <c r="H31">
        <f>F31*G31</f>
        <v>0</v>
      </c>
      <c r="I31">
        <v>0</v>
      </c>
      <c r="J31" t="str">
        <f>IF(I31=0,"",F31/(I31*Assumptions!$B$6*Assumptions!$B$7*Assumptions!$B$8))</f>
        <v/>
      </c>
      <c r="K31" t="str">
        <v>TBD</v>
      </c>
    </row>
    <row r="32">
      <c r="A32" t="str">
        <v>Arabic Reviewer/QA</v>
      </c>
      <c r="B32">
        <f>COUNTIF('Task Estimates'!$H:$H,A32)</f>
        <v>2</v>
      </c>
      <c r="C32">
        <f>SUMIF('Task Estimates'!$H:$H,A32,'Task Estimates'!$J:$J)</f>
        <v>7</v>
      </c>
      <c r="D32">
        <f>SUMIF('Task Estimates'!$H:$H,A32,'Task Estimates'!$K:$K)</f>
        <v>42</v>
      </c>
      <c r="E32">
        <f>SUMIF('Task Estimates'!$H:$H,A32,'Task Estimates'!$L:$L)</f>
        <v>6.299999999999999</v>
      </c>
      <c r="F32">
        <f>SUMIF('Task Estimates'!$H:$H,A32,'Task Estimates'!$M:$M)</f>
        <v>48.3</v>
      </c>
      <c r="G32">
        <v>0</v>
      </c>
      <c r="H32">
        <f>F32*G32</f>
        <v>0</v>
      </c>
      <c r="I32">
        <v>0</v>
      </c>
      <c r="J32" t="str">
        <f>IF(I32=0,"",F32/(I32*Assumptions!$B$6*Assumptions!$B$7*Assumptions!$B$8))</f>
        <v/>
      </c>
      <c r="K32" t="str">
        <v>TBD</v>
      </c>
    </row>
    <row r="33">
      <c r="A33" t="str">
        <v>Mobile/DevOps Engineer</v>
      </c>
      <c r="B33">
        <f>COUNTIF('Task Estimates'!$H:$H,A33)</f>
        <v>2</v>
      </c>
      <c r="C33">
        <f>SUMIF('Task Estimates'!$H:$H,A33,'Task Estimates'!$J:$J)</f>
        <v>7</v>
      </c>
      <c r="D33">
        <f>SUMIF('Task Estimates'!$H:$H,A33,'Task Estimates'!$K:$K)</f>
        <v>42</v>
      </c>
      <c r="E33">
        <f>SUMIF('Task Estimates'!$H:$H,A33,'Task Estimates'!$L:$L)</f>
        <v>6.299999999999999</v>
      </c>
      <c r="F33">
        <f>SUMIF('Task Estimates'!$H:$H,A33,'Task Estimates'!$M:$M)</f>
        <v>48.3</v>
      </c>
      <c r="G33">
        <v>0</v>
      </c>
      <c r="H33">
        <f>F33*G33</f>
        <v>0</v>
      </c>
      <c r="I33">
        <v>0</v>
      </c>
      <c r="J33" t="str">
        <f>IF(I33=0,"",F33/(I33*Assumptions!$B$6*Assumptions!$B$7*Assumptions!$B$8))</f>
        <v/>
      </c>
      <c r="K33" t="str">
        <v>TBD</v>
      </c>
    </row>
    <row r="34">
      <c r="A34" t="str">
        <v>Product/Mobile Engineer</v>
      </c>
      <c r="B34">
        <f>COUNTIF('Task Estimates'!$H:$H,A34)</f>
        <v>2</v>
      </c>
      <c r="C34">
        <f>SUMIF('Task Estimates'!$H:$H,A34,'Task Estimates'!$J:$J)</f>
        <v>7</v>
      </c>
      <c r="D34">
        <f>SUMIF('Task Estimates'!$H:$H,A34,'Task Estimates'!$K:$K)</f>
        <v>42</v>
      </c>
      <c r="E34">
        <f>SUMIF('Task Estimates'!$H:$H,A34,'Task Estimates'!$L:$L)</f>
        <v>6.299999999999999</v>
      </c>
      <c r="F34">
        <f>SUMIF('Task Estimates'!$H:$H,A34,'Task Estimates'!$M:$M)</f>
        <v>48.3</v>
      </c>
      <c r="G34">
        <v>0</v>
      </c>
      <c r="H34">
        <f>F34*G34</f>
        <v>0</v>
      </c>
      <c r="I34">
        <v>0</v>
      </c>
      <c r="J34" t="str">
        <f>IF(I34=0,"",F34/(I34*Assumptions!$B$6*Assumptions!$B$7*Assumptions!$B$8))</f>
        <v/>
      </c>
      <c r="K34" t="str">
        <v>TBD</v>
      </c>
    </row>
    <row r="35">
      <c r="A35" t="str">
        <v>Mobile/UI Engineer</v>
      </c>
      <c r="B35">
        <f>COUNTIF('Task Estimates'!$H:$H,A35)</f>
        <v>2</v>
      </c>
      <c r="C35">
        <f>SUMIF('Task Estimates'!$H:$H,A35,'Task Estimates'!$J:$J)</f>
        <v>7</v>
      </c>
      <c r="D35">
        <f>SUMIF('Task Estimates'!$H:$H,A35,'Task Estimates'!$K:$K)</f>
        <v>42</v>
      </c>
      <c r="E35">
        <f>SUMIF('Task Estimates'!$H:$H,A35,'Task Estimates'!$L:$L)</f>
        <v>6.299999999999999</v>
      </c>
      <c r="F35">
        <f>SUMIF('Task Estimates'!$H:$H,A35,'Task Estimates'!$M:$M)</f>
        <v>48.3</v>
      </c>
      <c r="G35">
        <v>0</v>
      </c>
      <c r="H35">
        <f>F35*G35</f>
        <v>0</v>
      </c>
      <c r="I35">
        <v>0</v>
      </c>
      <c r="J35" t="str">
        <f>IF(I35=0,"",F35/(I35*Assumptions!$B$6*Assumptions!$B$7*Assumptions!$B$8))</f>
        <v/>
      </c>
      <c r="K35" t="str">
        <v>TBD</v>
      </c>
    </row>
    <row r="36">
      <c r="A36" t="str">
        <v>QA/Security</v>
      </c>
      <c r="B36">
        <f>COUNTIF('Task Estimates'!$H:$H,A36)</f>
        <v>2</v>
      </c>
      <c r="C36">
        <f>SUMIF('Task Estimates'!$H:$H,A36,'Task Estimates'!$J:$J)</f>
        <v>7</v>
      </c>
      <c r="D36">
        <f>SUMIF('Task Estimates'!$H:$H,A36,'Task Estimates'!$K:$K)</f>
        <v>42</v>
      </c>
      <c r="E36">
        <f>SUMIF('Task Estimates'!$H:$H,A36,'Task Estimates'!$L:$L)</f>
        <v>6.299999999999999</v>
      </c>
      <c r="F36">
        <f>SUMIF('Task Estimates'!$H:$H,A36,'Task Estimates'!$M:$M)</f>
        <v>48.3</v>
      </c>
      <c r="G36">
        <v>0</v>
      </c>
      <c r="H36">
        <f>F36*G36</f>
        <v>0</v>
      </c>
      <c r="I36">
        <v>0</v>
      </c>
      <c r="J36" t="str">
        <f>IF(I36=0,"",F36/(I36*Assumptions!$B$6*Assumptions!$B$7*Assumptions!$B$8))</f>
        <v/>
      </c>
      <c r="K36" t="str">
        <v>TBD</v>
      </c>
    </row>
    <row r="37">
      <c r="A37" t="str">
        <v>Product Owner</v>
      </c>
      <c r="B37">
        <f>COUNTIF('Task Estimates'!$H:$H,A37)</f>
        <v>2</v>
      </c>
      <c r="C37">
        <f>SUMIF('Task Estimates'!$H:$H,A37,'Task Estimates'!$J:$J)</f>
        <v>5</v>
      </c>
      <c r="D37">
        <f>SUMIF('Task Estimates'!$H:$H,A37,'Task Estimates'!$K:$K)</f>
        <v>30</v>
      </c>
      <c r="E37">
        <f>SUMIF('Task Estimates'!$H:$H,A37,'Task Estimates'!$L:$L)</f>
        <v>4.5</v>
      </c>
      <c r="F37">
        <f>SUMIF('Task Estimates'!$H:$H,A37,'Task Estimates'!$M:$M)</f>
        <v>34.5</v>
      </c>
      <c r="G37">
        <v>0</v>
      </c>
      <c r="H37">
        <f>F37*G37</f>
        <v>0</v>
      </c>
      <c r="I37">
        <v>0</v>
      </c>
      <c r="J37" t="str">
        <f>IF(I37=0,"",F37/(I37*Assumptions!$B$6*Assumptions!$B$7*Assumptions!$B$8))</f>
        <v/>
      </c>
      <c r="K37" t="str">
        <v>TBD</v>
      </c>
    </row>
    <row r="38">
      <c r="A38" t="str">
        <v>Content Lead</v>
      </c>
      <c r="B38">
        <f>COUNTIF('Task Estimates'!$H:$H,A38)</f>
        <v>2</v>
      </c>
      <c r="C38">
        <f>SUMIF('Task Estimates'!$H:$H,A38,'Task Estimates'!$J:$J)</f>
        <v>5</v>
      </c>
      <c r="D38">
        <f>SUMIF('Task Estimates'!$H:$H,A38,'Task Estimates'!$K:$K)</f>
        <v>30</v>
      </c>
      <c r="E38">
        <f>SUMIF('Task Estimates'!$H:$H,A38,'Task Estimates'!$L:$L)</f>
        <v>4.5</v>
      </c>
      <c r="F38">
        <f>SUMIF('Task Estimates'!$H:$H,A38,'Task Estimates'!$M:$M)</f>
        <v>34.5</v>
      </c>
      <c r="G38">
        <v>0</v>
      </c>
      <c r="H38">
        <f>F38*G38</f>
        <v>0</v>
      </c>
      <c r="I38">
        <v>0</v>
      </c>
      <c r="J38" t="str">
        <f>IF(I38=0,"",F38/(I38*Assumptions!$B$6*Assumptions!$B$7*Assumptions!$B$8))</f>
        <v/>
      </c>
      <c r="K38" t="str">
        <v>TBD</v>
      </c>
    </row>
    <row r="39">
      <c r="A39" t="str">
        <v>Arabic Reviewer</v>
      </c>
      <c r="B39">
        <f>COUNTIF('Task Estimates'!$H:$H,A39)</f>
        <v>2</v>
      </c>
      <c r="C39">
        <f>SUMIF('Task Estimates'!$H:$H,A39,'Task Estimates'!$J:$J)</f>
        <v>5</v>
      </c>
      <c r="D39">
        <f>SUMIF('Task Estimates'!$H:$H,A39,'Task Estimates'!$K:$K)</f>
        <v>30</v>
      </c>
      <c r="E39">
        <f>SUMIF('Task Estimates'!$H:$H,A39,'Task Estimates'!$L:$L)</f>
        <v>4.5</v>
      </c>
      <c r="F39">
        <f>SUMIF('Task Estimates'!$H:$H,A39,'Task Estimates'!$M:$M)</f>
        <v>34.5</v>
      </c>
      <c r="G39">
        <v>0</v>
      </c>
      <c r="H39">
        <f>F39*G39</f>
        <v>0</v>
      </c>
      <c r="I39">
        <v>0</v>
      </c>
      <c r="J39" t="str">
        <f>IF(I39=0,"",F39/(I39*Assumptions!$B$6*Assumptions!$B$7*Assumptions!$B$8))</f>
        <v/>
      </c>
      <c r="K39" t="str">
        <v>TBD</v>
      </c>
    </row>
    <row r="40">
      <c r="A40" t="str">
        <v>Game/Backend Engineer</v>
      </c>
      <c r="B40">
        <f>COUNTIF('Task Estimates'!$H:$H,A40)</f>
        <v>2</v>
      </c>
      <c r="C40">
        <f>SUMIF('Task Estimates'!$H:$H,A40,'Task Estimates'!$J:$J)</f>
        <v>5</v>
      </c>
      <c r="D40">
        <f>SUMIF('Task Estimates'!$H:$H,A40,'Task Estimates'!$K:$K)</f>
        <v>30</v>
      </c>
      <c r="E40">
        <f>SUMIF('Task Estimates'!$H:$H,A40,'Task Estimates'!$L:$L)</f>
        <v>4.5</v>
      </c>
      <c r="F40">
        <f>SUMIF('Task Estimates'!$H:$H,A40,'Task Estimates'!$M:$M)</f>
        <v>34.5</v>
      </c>
      <c r="G40">
        <v>0</v>
      </c>
      <c r="H40">
        <f>F40*G40</f>
        <v>0</v>
      </c>
      <c r="I40">
        <v>0</v>
      </c>
      <c r="J40" t="str">
        <f>IF(I40=0,"",F40/(I40*Assumptions!$B$6*Assumptions!$B$7*Assumptions!$B$8))</f>
        <v/>
      </c>
      <c r="K40" t="str">
        <v>TBD</v>
      </c>
    </row>
    <row r="41">
      <c r="A41" t="str">
        <v>Analytics/Solver Engineer</v>
      </c>
      <c r="B41">
        <f>COUNTIF('Task Estimates'!$H:$H,A41)</f>
        <v>2</v>
      </c>
      <c r="C41">
        <f>SUMIF('Task Estimates'!$H:$H,A41,'Task Estimates'!$J:$J)</f>
        <v>5</v>
      </c>
      <c r="D41">
        <f>SUMIF('Task Estimates'!$H:$H,A41,'Task Estimates'!$K:$K)</f>
        <v>30</v>
      </c>
      <c r="E41">
        <f>SUMIF('Task Estimates'!$H:$H,A41,'Task Estimates'!$L:$L)</f>
        <v>4.5</v>
      </c>
      <c r="F41">
        <f>SUMIF('Task Estimates'!$H:$H,A41,'Task Estimates'!$M:$M)</f>
        <v>34.5</v>
      </c>
      <c r="G41">
        <v>0</v>
      </c>
      <c r="H41">
        <f>F41*G41</f>
        <v>0</v>
      </c>
      <c r="I41">
        <v>0</v>
      </c>
      <c r="J41" t="str">
        <f>IF(I41=0,"",F41/(I41*Assumptions!$B$6*Assumptions!$B$7*Assumptions!$B$8))</f>
        <v/>
      </c>
      <c r="K41" t="str">
        <v>TBD</v>
      </c>
    </row>
    <row r="42">
      <c r="A42" t="str">
        <v>DevOps/Tech Lead</v>
      </c>
      <c r="B42">
        <f>COUNTIF('Task Estimates'!$H:$H,A42)</f>
        <v>2</v>
      </c>
      <c r="C42">
        <f>SUMIF('Task Estimates'!$H:$H,A42,'Task Estimates'!$J:$J)</f>
        <v>5</v>
      </c>
      <c r="D42">
        <f>SUMIF('Task Estimates'!$H:$H,A42,'Task Estimates'!$K:$K)</f>
        <v>30</v>
      </c>
      <c r="E42">
        <f>SUMIF('Task Estimates'!$H:$H,A42,'Task Estimates'!$L:$L)</f>
        <v>4.5</v>
      </c>
      <c r="F42">
        <f>SUMIF('Task Estimates'!$H:$H,A42,'Task Estimates'!$M:$M)</f>
        <v>34.5</v>
      </c>
      <c r="G42">
        <v>0</v>
      </c>
      <c r="H42">
        <f>F42*G42</f>
        <v>0</v>
      </c>
      <c r="I42">
        <v>0</v>
      </c>
      <c r="J42" t="str">
        <f>IF(I42=0,"",F42/(I42*Assumptions!$B$6*Assumptions!$B$7*Assumptions!$B$8))</f>
        <v/>
      </c>
      <c r="K42" t="str">
        <v>TBD</v>
      </c>
    </row>
    <row r="43">
      <c r="A43" t="str">
        <v>Product/Backend</v>
      </c>
      <c r="B43">
        <f>COUNTIF('Task Estimates'!$H:$H,A43)</f>
        <v>2</v>
      </c>
      <c r="C43">
        <f>SUMIF('Task Estimates'!$H:$H,A43,'Task Estimates'!$J:$J)</f>
        <v>5</v>
      </c>
      <c r="D43">
        <f>SUMIF('Task Estimates'!$H:$H,A43,'Task Estimates'!$K:$K)</f>
        <v>30</v>
      </c>
      <c r="E43">
        <f>SUMIF('Task Estimates'!$H:$H,A43,'Task Estimates'!$L:$L)</f>
        <v>4.5</v>
      </c>
      <c r="F43">
        <f>SUMIF('Task Estimates'!$H:$H,A43,'Task Estimates'!$M:$M)</f>
        <v>34.5</v>
      </c>
      <c r="G43">
        <v>0</v>
      </c>
      <c r="H43">
        <f>F43*G43</f>
        <v>0</v>
      </c>
      <c r="I43">
        <v>0</v>
      </c>
      <c r="J43" t="str">
        <f>IF(I43=0,"",F43/(I43*Assumptions!$B$6*Assumptions!$B$7*Assumptions!$B$8))</f>
        <v/>
      </c>
      <c r="K43" t="str">
        <v>TBD</v>
      </c>
    </row>
    <row r="46">
      <c r="A46" t="str">
        <v>Cost is zero until hourly rates are entered. Suggested FTE cells also default to zero because staffing has not been approved.</v>
      </c>
    </row>
  </sheetData>
  <mergeCells count="3">
    <mergeCell ref="A1:K1"/>
    <mergeCell ref="A2:K2"/>
    <mergeCell ref="A46:K46"/>
  </mergeCells>
  <pageMargins left="0.7" right="0.7" top="0.75" bottom="0.75" header="0.3" footer="0.3"/>
  <ignoredErrors>
    <ignoredError numberStoredAsText="1" sqref="A1:K4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Delivery Dependency Register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Dependencies are sequencing guidance derived from the architecture/specifications and should be refined when technical stack decisions are approved.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From</v>
      </c>
      <c r="B3" t="str">
        <v>Depends On</v>
      </c>
      <c r="C3" t="str">
        <v>Dependency</v>
      </c>
      <c r="D3" t="str">
        <v>Type</v>
      </c>
      <c r="E3" t="str">
        <v>Criticality</v>
      </c>
      <c r="F3" t="str">
        <v>Can Overlap?</v>
      </c>
      <c r="G3" t="str">
        <v>Notes</v>
      </c>
    </row>
    <row r="4">
      <c r="A4" t="str">
        <v>E04 Solver</v>
      </c>
      <c r="B4" t="str">
        <v>E03 Game Engine</v>
      </c>
      <c r="C4" t="str">
        <v>Shared authoritative state/rules</v>
      </c>
      <c r="D4" t="str">
        <v>Technical</v>
      </c>
      <c r="E4" t="str">
        <v>Critical</v>
      </c>
      <c r="F4" t="str">
        <v>Partial</v>
      </c>
      <c r="G4" t="str">
        <v>Solver prototypes can begin after core state/rules stabilize.</v>
      </c>
    </row>
    <row r="5">
      <c r="A5" t="str">
        <v>E05 Level Generator</v>
      </c>
      <c r="B5" t="str">
        <v>E04 Solver</v>
      </c>
      <c r="C5" t="str">
        <v>Solvability/reference/difficulty validation</v>
      </c>
      <c r="D5" t="str">
        <v>Technical</v>
      </c>
      <c r="E5" t="str">
        <v>Critical</v>
      </c>
      <c r="F5" t="str">
        <v>Partial</v>
      </c>
      <c r="G5" t="str">
        <v>Generator shell can start before solver final tuning.</v>
      </c>
    </row>
    <row r="6">
      <c r="A6" t="str">
        <v>E07 Main Journey</v>
      </c>
      <c r="B6" t="str">
        <v>E05 Level Generator</v>
      </c>
      <c r="C6" t="str">
        <v>Validated attempts</v>
      </c>
      <c r="D6" t="str">
        <v>Functional</v>
      </c>
      <c r="E6" t="str">
        <v>Critical</v>
      </c>
      <c r="F6" t="str">
        <v>Partial</v>
      </c>
      <c r="G6" t="str">
        <v>Journey UI can progress with fixtures.</v>
      </c>
    </row>
    <row r="7">
      <c r="A7" t="str">
        <v>E08 Economy</v>
      </c>
      <c r="B7" t="str">
        <v>E03 Game Engine</v>
      </c>
      <c r="C7" t="str">
        <v>Reward/streak domain events</v>
      </c>
      <c r="D7" t="str">
        <v>Functional</v>
      </c>
      <c r="E7" t="str">
        <v>High</v>
      </c>
      <c r="F7" t="str">
        <v>Yes</v>
      </c>
      <c r="G7" t="str">
        <v>Backend wallet can be developed in parallel.</v>
      </c>
    </row>
    <row r="8">
      <c r="A8" t="str">
        <v>E09 Assistance</v>
      </c>
      <c r="B8" t="str">
        <v>E04 Solver</v>
      </c>
      <c r="C8" t="str">
        <v>Hint/dead-end</v>
      </c>
      <c r="D8" t="str">
        <v>Technical</v>
      </c>
      <c r="E8" t="str">
        <v>Critical</v>
      </c>
      <c r="F8" t="str">
        <v>Partial</v>
      </c>
      <c r="G8" t="str">
        <v>UI can use mocked solver responses.</v>
      </c>
    </row>
    <row r="9">
      <c r="A9" t="str">
        <v>E10 Monetization</v>
      </c>
      <c r="B9" t="str">
        <v>E08 Economy</v>
      </c>
      <c r="C9" t="str">
        <v>Transaction-safe grants/spends</v>
      </c>
      <c r="D9" t="str">
        <v>Transactional</v>
      </c>
      <c r="E9" t="str">
        <v>Critical</v>
      </c>
      <c r="F9" t="str">
        <v>Yes</v>
      </c>
      <c r="G9" t="str">
        <v>SDK adapter work can overlap.</v>
      </c>
    </row>
    <row r="10">
      <c r="A10" t="str">
        <v>E11 Cloud Save</v>
      </c>
      <c r="B10" t="str">
        <v>E08/E12</v>
      </c>
      <c r="C10" t="str">
        <v>Economy/progression reconciliation + Firebase backend</v>
      </c>
      <c r="D10" t="str">
        <v>Data</v>
      </c>
      <c r="E10" t="str">
        <v>Critical</v>
      </c>
      <c r="F10" t="str">
        <v>Partial</v>
      </c>
      <c r="G10" t="str">
        <v>Local persistence can begin early.</v>
      </c>
    </row>
    <row r="11">
      <c r="A11" t="str">
        <v>E13 CMS</v>
      </c>
      <c r="B11" t="str">
        <v>E02/E04/E05</v>
      </c>
      <c r="C11" t="str">
        <v>Content schema + Solver/Level tooling</v>
      </c>
      <c r="D11" t="str">
        <v>Functional</v>
      </c>
      <c r="E11" t="str">
        <v>Critical</v>
      </c>
      <c r="F11" t="str">
        <v>Yes</v>
      </c>
      <c r="G11" t="str">
        <v>CRUD can precede full simulation tooling.</v>
      </c>
    </row>
    <row r="12">
      <c r="A12" t="str">
        <v>E14 Analytics</v>
      </c>
      <c r="B12" t="str">
        <v>All P0 domains</v>
      </c>
      <c r="C12" t="str">
        <v>Events and operational telemetry</v>
      </c>
      <c r="D12" t="str">
        <v>Data</v>
      </c>
      <c r="E12" t="str">
        <v>High</v>
      </c>
      <c r="F12" t="str">
        <v>Yes</v>
      </c>
      <c r="G12" t="str">
        <v>Instrumentation should be incremental.</v>
      </c>
    </row>
    <row r="13">
      <c r="A13" t="str">
        <v>E18 QA</v>
      </c>
      <c r="B13" t="str">
        <v>E03/E04/E05</v>
      </c>
      <c r="C13" t="str">
        <v>Rules/Solver/generator</v>
      </c>
      <c r="D13" t="str">
        <v>Quality</v>
      </c>
      <c r="E13" t="str">
        <v>Critical</v>
      </c>
      <c r="F13" t="str">
        <v>Yes</v>
      </c>
      <c r="G13" t="str">
        <v>Starts from M1 and continues throughout.</v>
      </c>
    </row>
    <row r="14">
      <c r="A14" t="str">
        <v>E19 DevOps</v>
      </c>
      <c r="B14" t="str">
        <v>E12 Backend</v>
      </c>
      <c r="C14" t="str">
        <v>Deployment/runtime environments</v>
      </c>
      <c r="D14" t="str">
        <v>Platform</v>
      </c>
      <c r="E14" t="str">
        <v>High</v>
      </c>
      <c r="F14" t="str">
        <v>Yes</v>
      </c>
      <c r="G14" t="str">
        <v>GitHub Actions + Firebase/GCP; no Azure/K8s MVP baseline.</v>
      </c>
    </row>
    <row r="15">
      <c r="A15" t="str">
        <v>E20 Security</v>
      </c>
      <c r="B15" t="str">
        <v>E10/E11/E12/E13</v>
      </c>
      <c r="C15" t="str">
        <v>Payments, identity, API and admin controls</v>
      </c>
      <c r="D15" t="str">
        <v>Security</v>
      </c>
      <c r="E15" t="str">
        <v>Critical</v>
      </c>
      <c r="F15" t="str">
        <v>Yes</v>
      </c>
      <c r="G15" t="str">
        <v>Security design starts early; hardening continues to release.</v>
      </c>
    </row>
  </sheetData>
  <ignoredErrors>
    <ignoredError numberStoredAsText="1" sqref="A1:G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Estimation &amp; Delivery Risks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These risks directly affect delivery duration or estimate confidence. Ratings are proposed and should be reviewed after prototype/stack approval.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Risk ID</v>
      </c>
      <c r="B3" t="str">
        <v>Risk</v>
      </c>
      <c r="C3" t="str">
        <v>Estimate Impact</v>
      </c>
      <c r="D3" t="str">
        <v>Likelihood</v>
      </c>
      <c r="E3" t="str">
        <v>Impact</v>
      </c>
      <c r="F3" t="str">
        <v>Rating</v>
      </c>
      <c r="G3" t="str">
        <v>Mitigation</v>
      </c>
      <c r="H3" t="str">
        <v>Estimate Reserve</v>
      </c>
      <c r="I3" t="str">
        <v>Owner Role</v>
      </c>
      <c r="J3" t="str">
        <v>Status</v>
      </c>
    </row>
    <row r="4">
      <c r="A4" t="str">
        <v>R01</v>
      </c>
      <c r="B4" t="str">
        <v>Solver complexity exceeds initial assumptions</v>
      </c>
      <c r="C4" t="str">
        <v>High</v>
      </c>
      <c r="D4" t="str">
        <v>Medium</v>
      </c>
      <c r="E4" t="str">
        <v>Critical</v>
      </c>
      <c r="F4" t="str">
        <v>High</v>
      </c>
      <c r="G4" t="str">
        <v>Prototype first; benchmark; optimize/fallback</v>
      </c>
      <c r="H4" t="str">
        <v>Contingency + solver spike</v>
      </c>
      <c r="I4" t="str">
        <v>Solver Engineer</v>
      </c>
      <c r="J4" t="str">
        <v>Open</v>
      </c>
    </row>
    <row r="5">
      <c r="A5" t="str">
        <v>R02</v>
      </c>
      <c r="B5" t="str">
        <v>Launch content quantity remains undefined</v>
      </c>
      <c r="C5" t="str">
        <v>High</v>
      </c>
      <c r="D5" t="str">
        <v>High</v>
      </c>
      <c r="E5" t="str">
        <v>High</v>
      </c>
      <c r="F5" t="str">
        <v>High</v>
      </c>
      <c r="G5" t="str">
        <v>Approve launch content volume early</v>
      </c>
      <c r="H5" t="str">
        <v>Separate content capacity buffer</v>
      </c>
      <c r="I5" t="str">
        <v>Content Lead</v>
      </c>
      <c r="J5" t="str">
        <v>Open</v>
      </c>
    </row>
    <row r="6">
      <c r="A6" t="str">
        <v>R03</v>
      </c>
      <c r="B6" t="str">
        <v>Rescue behavior previously TBD — now confirmed Solver-Guided Recovery</v>
      </c>
      <c r="C6" t="str">
        <v>Medium</v>
      </c>
      <c r="D6" t="str">
        <v>Medium</v>
      </c>
      <c r="E6" t="str">
        <v>High</v>
      </c>
      <c r="F6" t="str">
        <v>High</v>
      </c>
      <c r="G6" t="str">
        <v>Resolve before assistance/economy freeze</v>
      </c>
      <c r="H6" t="str">
        <v>Do not estimate implementation as final</v>
      </c>
      <c r="I6" t="str">
        <v>Game Designer</v>
      </c>
      <c r="J6" t="str">
        <v>Mitigated</v>
      </c>
    </row>
    <row r="7">
      <c r="A7" t="str">
        <v>R04</v>
      </c>
      <c r="B7" t="str">
        <v>Cloud sync conflict policy (domain-specific) — approved; implementation risk remains</v>
      </c>
      <c r="C7" t="str">
        <v>Medium</v>
      </c>
      <c r="D7" t="str">
        <v>Medium</v>
      </c>
      <c r="E7" t="str">
        <v>High</v>
      </c>
      <c r="F7" t="str">
        <v>High</v>
      </c>
      <c r="G7" t="str">
        <v>Approve authority/merge model before cloud implementation</v>
      </c>
      <c r="H7" t="str">
        <v>Follow Register v1.1 conflict matrix</v>
      </c>
      <c r="I7" t="str">
        <v>Backend Engineer</v>
      </c>
      <c r="J7" t="str">
        <v>Open</v>
      </c>
    </row>
    <row r="8">
      <c r="A8" t="str">
        <v>R05</v>
      </c>
      <c r="B8" t="str">
        <v>Firebase/GCP quotas or cost surprises after serverless rebase</v>
      </c>
      <c r="C8" t="str">
        <v>Medium</v>
      </c>
      <c r="D8" t="str">
        <v>Medium</v>
      </c>
      <c r="E8" t="str">
        <v>High</v>
      </c>
      <c r="F8" t="str">
        <v>High</v>
      </c>
      <c r="G8" t="str">
        <v>Approve ADRs before production coding</v>
      </c>
      <c r="H8" t="str">
        <v>Enable budget alerts; tune quotas before PROD; avoid always-on Azure rebuild unless justified</v>
      </c>
      <c r="I8" t="str">
        <v>Tech Lead</v>
      </c>
      <c r="J8" t="str">
        <v>Open</v>
      </c>
    </row>
    <row r="9">
      <c r="A9" t="str">
        <v>R06</v>
      </c>
      <c r="B9" t="str">
        <v>QA effort is unusually high because random-state game needs simulation</v>
      </c>
      <c r="C9" t="str">
        <v>High</v>
      </c>
      <c r="D9" t="str">
        <v>High</v>
      </c>
      <c r="E9" t="str">
        <v>High</v>
      </c>
      <c r="F9" t="str">
        <v>High</v>
      </c>
      <c r="G9" t="str">
        <v>Keep automation integral to development</v>
      </c>
      <c r="H9" t="str">
        <v>Already visible as explicit QA tasks</v>
      </c>
      <c r="I9" t="str">
        <v>QA Lead</v>
      </c>
      <c r="J9" t="str">
        <v>Open</v>
      </c>
    </row>
    <row r="10">
      <c r="A10" t="str">
        <v>R07</v>
      </c>
      <c r="B10" t="str">
        <v>Solo/small-team delivery creates role bottlenecks</v>
      </c>
      <c r="C10" t="str">
        <v>High</v>
      </c>
      <c r="D10" t="str">
        <v>High</v>
      </c>
      <c r="E10" t="str">
        <v>High</v>
      </c>
      <c r="F10" t="str">
        <v>High</v>
      </c>
      <c r="G10" t="str">
        <v>Use scenario planning; outsource/reduce scope where needed</v>
      </c>
      <c r="H10" t="str">
        <v>Capacity scenario</v>
      </c>
      <c r="I10" t="str">
        <v>Product Owner</v>
      </c>
      <c r="J10" t="str">
        <v>Open</v>
      </c>
    </row>
    <row r="11">
      <c r="A11" t="str">
        <v>R08</v>
      </c>
      <c r="B11" t="str">
        <v>Store/ads/privacy integration changes late</v>
      </c>
      <c r="C11" t="str">
        <v>Medium</v>
      </c>
      <c r="D11" t="str">
        <v>Medium</v>
      </c>
      <c r="E11" t="str">
        <v>High</v>
      </c>
      <c r="F11" t="str">
        <v>High</v>
      </c>
      <c r="G11" t="str">
        <v>Select providers early; recheck policies before submission</v>
      </c>
      <c r="H11" t="str">
        <v>Release reserve</v>
      </c>
      <c r="I11" t="str">
        <v>Mobile Engineer</v>
      </c>
      <c r="J11" t="str">
        <v>Open</v>
      </c>
    </row>
  </sheetData>
  <ignoredErrors>
    <ignoredError numberStoredAsText="1" sqref="A1:J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Delivery-Critical Decisions — aligned to Final Decision Register v1.1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Most architecture/economy items are now CONFIRMED. Remaining TBD: real-money prices, Firebase quotas/billing, staffing, calendar dates.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Decision</v>
      </c>
      <c r="B3" t="str">
        <v>Area</v>
      </c>
      <c r="C3" t="str">
        <v>Current Proposal</v>
      </c>
      <c r="D3" t="str">
        <v>Affects Milestone</v>
      </c>
      <c r="E3" t="str">
        <v>Estimate Impact</v>
      </c>
      <c r="F3" t="str">
        <v>Status</v>
      </c>
      <c r="G3" t="str">
        <v>Action</v>
      </c>
    </row>
    <row r="4">
      <c r="A4" t="str">
        <v>Client framework</v>
      </c>
      <c r="B4" t="str">
        <v>Architecture</v>
      </c>
      <c r="C4" t="str">
        <v>Flutter + Riverpod + Drift/SQLite</v>
      </c>
      <c r="D4" t="str">
        <v>M0/M1</v>
      </c>
      <c r="E4" t="str">
        <v>Medium</v>
      </c>
      <c r="F4" t="str">
        <v>CONFIRMED</v>
      </c>
      <c r="G4" t="str">
        <v>Closed by Register v1.1</v>
      </c>
    </row>
    <row r="5">
      <c r="A5" t="str">
        <v>Solver algorithm/runtime</v>
      </c>
      <c r="B5" t="str">
        <v>Solver</v>
      </c>
      <c r="C5" t="str">
        <v>Pure client library first; benchmark variants</v>
      </c>
      <c r="D5" t="str">
        <v>M1/M2</v>
      </c>
      <c r="E5" t="str">
        <v>High</v>
      </c>
      <c r="F5" t="str">
        <v>TBD</v>
      </c>
      <c r="G5" t="str">
        <v>Prototype on target devices.</v>
      </c>
    </row>
    <row r="6">
      <c r="A6" t="str">
        <v>Backend/cloud stack</v>
      </c>
      <c r="B6" t="str">
        <v>Backend</v>
      </c>
      <c r="C6" t="str">
        <v>Firebase-first (Auth/Firestore/Storage/Functions/Run/FCM/Remote Config); ASP.NET+PG DEFERRED; Azure SUPERSEDED</v>
      </c>
      <c r="D6" t="str">
        <v>M0/M4</v>
      </c>
      <c r="E6" t="str">
        <v>Medium</v>
      </c>
      <c r="F6" t="str">
        <v>CONFIRMED</v>
      </c>
      <c r="G6" t="str">
        <v>Always-on Azure infra out of MVP (scope reduction)</v>
      </c>
    </row>
    <row r="7">
      <c r="A7" t="str">
        <v>Launch content quantity</v>
      </c>
      <c r="B7" t="str">
        <v>Content</v>
      </c>
      <c r="C7" t="str">
        <v>5 Chapters / 250 Level Definitions</v>
      </c>
      <c r="D7" t="str">
        <v>M6</v>
      </c>
      <c r="E7" t="str">
        <v>High</v>
      </c>
      <c r="F7" t="str">
        <v>CONFIRMED</v>
      </c>
      <c r="G7" t="str">
        <v>Register v1.1</v>
      </c>
    </row>
    <row r="8">
      <c r="A8" t="str">
        <v>Rescue behavior</v>
      </c>
      <c r="B8" t="str">
        <v>Gameplay/Economy</v>
      </c>
      <c r="C8" t="str">
        <v>Solver-Guided Recovery; 200 Coins; max 1; no Mid-Level Reshuffle MVP</v>
      </c>
      <c r="D8" t="str">
        <v>M3/M5</v>
      </c>
      <c r="E8" t="str">
        <v>Medium</v>
      </c>
      <c r="F8" t="str">
        <v>CONFIRMED</v>
      </c>
      <c r="G8" t="str">
        <v>Register v1.1</v>
      </c>
    </row>
    <row r="9">
      <c r="A9" t="str">
        <v>Economy values</v>
      </c>
      <c r="B9" t="str">
        <v>Economy</v>
      </c>
      <c r="C9" t="str">
        <v>Confirmed Register v1.1 amounts</v>
      </c>
      <c r="D9" t="str">
        <v>M3/M5</v>
      </c>
      <c r="E9" t="str">
        <v>Medium</v>
      </c>
      <c r="F9" t="str">
        <v>CONFIRMED</v>
      </c>
      <c r="G9" t="str">
        <v>Real-money prices still TBD</v>
      </c>
    </row>
    <row r="10">
      <c r="A10" t="str">
        <v>Daily inclusion in launch</v>
      </c>
      <c r="B10" t="str">
        <v>Scope</v>
      </c>
      <c r="C10" t="str">
        <v>Daily Reward/Challenge/Streak/Notifications are launch P0; Events post-launch</v>
      </c>
      <c r="D10" t="str">
        <v>M7</v>
      </c>
      <c r="E10" t="str">
        <v>High</v>
      </c>
      <c r="F10" t="str">
        <v>CONFIRMED</v>
      </c>
      <c r="G10" t="str">
        <v>Moved from P1 to P0</v>
      </c>
    </row>
    <row r="11">
      <c r="A11" t="str">
        <v>Minimum OS/device support</v>
      </c>
      <c r="B11" t="str">
        <v>Platform</v>
      </c>
      <c r="C11" t="str">
        <v>iOS 15 / Android API 26; portrait only</v>
      </c>
      <c r="D11" t="str">
        <v>M0/M6</v>
      </c>
      <c r="E11" t="str">
        <v>Medium</v>
      </c>
      <c r="F11" t="str">
        <v>CONFIRMED</v>
      </c>
      <c r="G11" t="str">
        <v>Register v1.1</v>
      </c>
    </row>
    <row r="12">
      <c r="A12" t="str">
        <v>Analytics/Ads/IAP providers</v>
      </c>
      <c r="B12" t="str">
        <v>Integrations</v>
      </c>
      <c r="C12" t="str">
        <v>Firebase Analytics+BigQuery+Crashlytics; AdMob+Mediation; IAP via Functions/Run</v>
      </c>
      <c r="D12" t="str">
        <v>M5/M6</v>
      </c>
      <c r="E12" t="str">
        <v>Medium</v>
      </c>
      <c r="F12" t="str">
        <v>CONFIRMED</v>
      </c>
      <c r="G12" t="str">
        <v>Real-money prices &amp; mediation mix details TBD</v>
      </c>
    </row>
    <row r="13">
      <c r="A13" t="str">
        <v>Offline transactional policy</v>
      </c>
      <c r="B13" t="str">
        <v>Cloud/Economy</v>
      </c>
      <c r="C13" t="str">
        <v>Offline Coin spend with queued idempotent reconciliation; ads/IAP require network</v>
      </c>
      <c r="D13" t="str">
        <v>M3/M4</v>
      </c>
      <c r="E13" t="str">
        <v>Medium</v>
      </c>
      <c r="F13" t="str">
        <v>CONFIRMED</v>
      </c>
      <c r="G13" t="str">
        <v>Register v1.1</v>
      </c>
    </row>
    <row r="14">
      <c r="A14" t="str">
        <v>Firebase quotas/billing</v>
      </c>
      <c r="B14" t="str">
        <v>Ops</v>
      </c>
      <c r="C14" t="str">
        <v>Budgets/alerts required; exact limits TBD</v>
      </c>
      <c r="D14" t="str">
        <v>M4/M6</v>
      </c>
      <c r="E14" t="str">
        <v>Medium</v>
      </c>
      <c r="F14" t="str">
        <v>TBD</v>
      </c>
      <c r="G14" t="str">
        <v>Do not invent numeric quotas</v>
      </c>
    </row>
    <row r="15">
      <c r="A15" t="str">
        <v>Staffing/calendar</v>
      </c>
      <c r="B15" t="str">
        <v>Delivery</v>
      </c>
      <c r="C15" t="str">
        <v>Team size, rates, dates TBD</v>
      </c>
      <c r="D15" t="str">
        <v>All</v>
      </c>
      <c r="E15" t="str">
        <v>High</v>
      </c>
      <c r="F15" t="str">
        <v>TBD</v>
      </c>
      <c r="G15" t="str">
        <v>Do not invent dates/staffing</v>
      </c>
    </row>
  </sheetData>
  <ignoredErrors>
    <ignoredError numberStoredAsText="1" sqref="A1:G1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Data>
    <row r="1">
      <c r="A1" t="str">
        <v>MVP Estimation &amp; Delivery Executive Summary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Decision Align v1.1 Firebase-first rebase. Daily moved into P0. Hours recalculated from task SP; cost remains 0 until rates entered. No committed calendar dates.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KPI</v>
      </c>
      <c r="B3" t="str">
        <v>P0</v>
      </c>
      <c r="C3" t="str">
        <v>P1</v>
      </c>
      <c r="D3" t="str">
        <v>Total</v>
      </c>
      <c r="E3" t="str">
        <v/>
      </c>
      <c r="F3" t="str">
        <v>Scenario</v>
      </c>
      <c r="G3" t="str">
        <v>FTE</v>
      </c>
      <c r="H3" t="str">
        <v>Eff. h/week</v>
      </c>
      <c r="I3" t="str">
        <v>P0 Weeks</v>
      </c>
      <c r="J3" t="str">
        <v>P0+P1 Weeks</v>
      </c>
    </row>
    <row r="4">
      <c r="A4" t="str">
        <v>Task Count</v>
      </c>
      <c r="B4">
        <v>468</v>
      </c>
      <c r="C4">
        <v>0</v>
      </c>
      <c r="D4">
        <v>468</v>
      </c>
      <c r="E4" t="str">
        <v/>
      </c>
      <c r="F4" t="str">
        <v>Solo / AI-Assisted</v>
      </c>
      <c r="G4">
        <v>1</v>
      </c>
      <c r="H4">
        <v>30</v>
      </c>
      <c r="I4">
        <v>388.4700000000001</v>
      </c>
      <c r="J4">
        <v>388.4700000000001</v>
      </c>
    </row>
    <row r="5">
      <c r="A5" t="str">
        <v>Story Points</v>
      </c>
      <c r="B5">
        <v>1689</v>
      </c>
      <c r="C5">
        <v>0</v>
      </c>
      <c r="D5">
        <v>1689</v>
      </c>
      <c r="E5" t="str">
        <v/>
      </c>
      <c r="F5" t="str">
        <v>Lean Team</v>
      </c>
      <c r="G5">
        <v>3</v>
      </c>
      <c r="H5">
        <v>90</v>
      </c>
      <c r="I5">
        <v>129.49000000000004</v>
      </c>
      <c r="J5">
        <v>129.49000000000004</v>
      </c>
    </row>
    <row r="6">
      <c r="A6" t="str">
        <v>Base Hours</v>
      </c>
      <c r="B6">
        <v>10134</v>
      </c>
      <c r="C6">
        <v>0</v>
      </c>
      <c r="D6">
        <v>10134</v>
      </c>
      <c r="E6" t="str">
        <v/>
      </c>
      <c r="F6" t="str">
        <v>Recommended Team</v>
      </c>
      <c r="G6">
        <v>5</v>
      </c>
      <c r="H6">
        <v>150</v>
      </c>
      <c r="I6">
        <v>77.69400000000002</v>
      </c>
      <c r="J6">
        <v>77.69400000000002</v>
      </c>
    </row>
    <row r="7">
      <c r="A7" t="str">
        <v>Contingency Hours</v>
      </c>
      <c r="B7">
        <v>1520.1000000000015</v>
      </c>
      <c r="C7">
        <v>0</v>
      </c>
      <c r="D7">
        <v>1520.1000000000015</v>
      </c>
    </row>
    <row r="8">
      <c r="A8" t="str">
        <v>Planned Hours</v>
      </c>
      <c r="B8">
        <v>11654.100000000002</v>
      </c>
      <c r="C8">
        <v>0</v>
      </c>
      <c r="D8">
        <v>11654.100000000002</v>
      </c>
    </row>
    <row r="9">
      <c r="A9" t="str">
        <v>Role-based Estimated Cost</v>
      </c>
      <c r="B9" t="str">
        <v/>
      </c>
      <c r="C9" t="str">
        <v/>
      </c>
      <c r="D9">
        <v>0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Milestone</v>
      </c>
      <c r="B11" t="str">
        <v>Outcome</v>
      </c>
      <c r="C11" t="str">
        <v>Effort Hours</v>
      </c>
      <c r="D11" t="str">
        <v>Duration Weeks</v>
      </c>
      <c r="E11" t="str">
        <v>Start Week</v>
      </c>
      <c r="F11" t="str">
        <v>End Week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M0 Foundations</v>
      </c>
      <c r="B12" t="str">
        <v>Approved implementation foundation and UX baseline</v>
      </c>
      <c r="C12">
        <v>303.59999999999997</v>
      </c>
      <c r="D12">
        <v>1.4167999999999996</v>
      </c>
      <c r="E12">
        <v>1</v>
      </c>
      <c r="F12">
        <v>2.4167999999999994</v>
      </c>
      <c r="G12" t="str">
        <v/>
      </c>
      <c r="H12" t="str">
        <v/>
      </c>
      <c r="I12" t="str">
        <v/>
      </c>
      <c r="J12" t="str">
        <v/>
      </c>
    </row>
    <row r="13">
      <c r="A13" t="str">
        <v>M1 Playable Core</v>
      </c>
      <c r="B13" t="str">
        <v>Complete playable rules engine with fixed QA boards</v>
      </c>
      <c r="C13">
        <v>1021.2000000000007</v>
      </c>
      <c r="D13">
        <v>6.127200000000005</v>
      </c>
      <c r="E13">
        <v>2.1334399999999993</v>
      </c>
      <c r="F13">
        <v>8.260640000000004</v>
      </c>
      <c r="G13" t="str">
        <v/>
      </c>
      <c r="H13" t="str">
        <v/>
      </c>
      <c r="I13" t="str">
        <v/>
      </c>
      <c r="J13" t="str">
        <v/>
      </c>
    </row>
    <row r="14">
      <c r="A14" t="str">
        <v>M2 Solver-Validated Game</v>
      </c>
      <c r="B14" t="str">
        <v>Randomized Solver-validated gameplay + difficulty/generation</v>
      </c>
      <c r="C14">
        <v>1842.3000000000004</v>
      </c>
      <c r="D14">
        <v>8.5974</v>
      </c>
      <c r="E14">
        <v>7.035200000000003</v>
      </c>
      <c r="F14">
        <v>15.632600000000004</v>
      </c>
      <c r="G14" t="str">
        <v/>
      </c>
      <c r="H14" t="str">
        <v/>
      </c>
      <c r="I14" t="str">
        <v/>
      </c>
      <c r="J14" t="str">
        <v/>
      </c>
    </row>
    <row r="15">
      <c r="A15" t="str">
        <v>M3 Product Loop</v>
      </c>
      <c r="B15" t="str">
        <v>Tutorial, Journey, rewards, assistance and local resume</v>
      </c>
      <c r="C15">
        <v>1704.3</v>
      </c>
      <c r="D15">
        <v>8.5215</v>
      </c>
      <c r="E15">
        <v>13.913120000000003</v>
      </c>
      <c r="F15">
        <v>22.434620000000002</v>
      </c>
      <c r="G15" t="str">
        <v/>
      </c>
      <c r="H15" t="str">
        <v/>
      </c>
      <c r="I15" t="str">
        <v/>
      </c>
      <c r="J15" t="str">
        <v/>
      </c>
    </row>
    <row r="16">
      <c r="A16" t="str">
        <v>M4 Online Platform</v>
      </c>
      <c r="B16" t="str">
        <v>Identity, Firebase/GCP serverless, cloud sync, telemetry and content delivery</v>
      </c>
      <c r="C16">
        <v>1766.4</v>
      </c>
      <c r="D16">
        <v>8.2432</v>
      </c>
      <c r="E16">
        <v>20.730320000000003</v>
      </c>
      <c r="F16">
        <v>28.97352</v>
      </c>
      <c r="G16" t="str">
        <v/>
      </c>
      <c r="H16" t="str">
        <v/>
      </c>
      <c r="I16" t="str">
        <v/>
      </c>
      <c r="J16" t="str">
        <v/>
      </c>
    </row>
    <row r="17">
      <c r="A17" t="str">
        <v>M5 CMS &amp; Monetization</v>
      </c>
      <c r="B17" t="str">
        <v>Store/ad flows plus operational CMS/publishing</v>
      </c>
      <c r="C17">
        <v>1614.6000000000004</v>
      </c>
      <c r="D17">
        <v>8.073000000000002</v>
      </c>
      <c r="E17">
        <v>27.32488</v>
      </c>
      <c r="F17">
        <v>35.39788</v>
      </c>
      <c r="G17" t="str">
        <v/>
      </c>
      <c r="H17" t="str">
        <v/>
      </c>
      <c r="I17" t="str">
        <v/>
      </c>
      <c r="J17" t="str">
        <v/>
      </c>
    </row>
    <row r="18">
      <c r="A18" t="str">
        <v>M6 Release Hardening</v>
      </c>
      <c r="B18" t="str">
        <v>Launch content, automated validation, DevOps, security/compliance hardening</v>
      </c>
      <c r="C18">
        <v>2442.6000000000004</v>
      </c>
      <c r="D18">
        <v>10.584600000000002</v>
      </c>
      <c r="E18">
        <v>33.78328</v>
      </c>
      <c r="F18">
        <v>44.36788</v>
      </c>
      <c r="G18" t="str">
        <v/>
      </c>
      <c r="H18" t="str">
        <v/>
      </c>
      <c r="I18" t="str">
        <v/>
      </c>
      <c r="J18" t="str">
        <v/>
      </c>
    </row>
    <row r="19">
      <c r="A19" t="str">
        <v>M7 Launch Daily Engagement (P0)</v>
      </c>
      <c r="B19" t="str">
        <v>Daily Reward, Daily Challenge, Streak and smart notifications (launch P0)</v>
      </c>
      <c r="C19">
        <v>959.0999999999999</v>
      </c>
      <c r="D19">
        <v>5.1152</v>
      </c>
      <c r="E19">
        <v>42.25096</v>
      </c>
      <c r="F19">
        <v>47.36616</v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Planning Interpretation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1</v>
      </c>
      <c r="B23" t="str">
        <v>Task-only estimate</v>
      </c>
      <c r="C23" t="str">
        <v>Parent Feature Story Points are excluded from duration/cost totals to avoid double counting.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2</v>
      </c>
      <c r="B24" t="str">
        <v>Contingency</v>
      </c>
      <c r="C24" t="str">
        <v>Default 15% reserve is editable and explicitly PROPOSED.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3</v>
      </c>
      <c r="B25" t="str">
        <v>Calendar vs effort</v>
      </c>
      <c r="C25" t="str">
        <v>Scenario weeks are pure capacity math; milestone roadmap applies overlap factors to represent parallel work.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4</v>
      </c>
      <c r="B26" t="str">
        <v>P1</v>
      </c>
      <c r="C26" t="str">
        <v>Daily engagement is kept separate so it can be launch scope or immediate post-launch without rewriting P0.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5</v>
      </c>
      <c r="B27" t="str">
        <v>Costs</v>
      </c>
      <c r="C27" t="str">
        <v>All role/hourly rates default to zero until explicitly entered.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</sheetData>
  <ignoredErrors>
    <ignoredError numberStoredAsText="1" sqref="A1:J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Decision Align v1.1 — Firebase-First Rebase</v>
      </c>
    </row>
    <row r="2">
      <c r="A2" t="str">
        <v>Source</v>
      </c>
      <c r="B2" t="str">
        <v>Final Decision Register v1.1</v>
      </c>
    </row>
    <row r="3">
      <c r="A3" t="str">
        <v>Applied</v>
      </c>
      <c r="B3" t="str">
        <v>2026-08-21</v>
      </c>
    </row>
    <row r="4">
      <c r="A4" t="str">
        <v/>
      </c>
    </row>
    <row r="5">
      <c r="A5" t="str">
        <v>Recalculated</v>
      </c>
      <c r="B5" t="str">
        <v>Value</v>
      </c>
    </row>
    <row r="6">
      <c r="A6" t="str">
        <v>P0 Planned Hours</v>
      </c>
      <c r="B6">
        <v>11654.100000000002</v>
      </c>
    </row>
    <row r="7">
      <c r="A7" t="str">
        <v>P1 Planned Hours</v>
      </c>
      <c r="B7">
        <v>0</v>
      </c>
    </row>
    <row r="8">
      <c r="A8" t="str">
        <v>P0 Tasks</v>
      </c>
      <c r="B8">
        <v>468</v>
      </c>
    </row>
    <row r="9">
      <c r="A9" t="str">
        <v>P1 Tasks</v>
      </c>
      <c r="B9">
        <v>0</v>
      </c>
    </row>
    <row r="10">
      <c r="A10" t="str">
        <v>P0 Story Points</v>
      </c>
      <c r="B10">
        <v>1689</v>
      </c>
    </row>
    <row r="11">
      <c r="A11" t="str">
        <v>P1 Story Points</v>
      </c>
      <c r="B11">
        <v>0</v>
      </c>
    </row>
    <row r="12">
      <c r="A12" t="str">
        <v/>
      </c>
    </row>
    <row r="13">
      <c r="A13" t="str">
        <v>Notes</v>
      </c>
      <c r="B13" t="str">
        <v>E12 retargeted to Firebase serverless (reallocation away from always-on Azure/ASP.NET/PG). Daily E15–E17 moved into P0. No invented staffing counts or calendar dates. Real-money prices and Firebase quotas/billing remain TBD.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Lookups</vt:lpstr>
      <vt:lpstr>Assumptions</vt:lpstr>
      <vt:lpstr>Task Estimates</vt:lpstr>
      <vt:lpstr>Epic Estimates</vt:lpstr>
      <vt:lpstr>Delivery Scenarios</vt:lpstr>
      <vt:lpstr>Delivery Roadmap</vt:lpstr>
      <vt:lpstr>Role &amp; Cost Plan</vt:lpstr>
      <vt:lpstr>Dependencies</vt:lpstr>
      <vt:lpstr>Risk Register</vt:lpstr>
      <vt:lpstr>Decision Register</vt:lpstr>
      <vt:lpstr>Executive Summary</vt:lpstr>
      <vt:lpstr>Decision Align v1.1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